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3040" windowHeight="9384"/>
  </bookViews>
  <sheets>
    <sheet name="Dashboard" sheetId="4" r:id="rId1"/>
    <sheet name="Monthly Performance Analysis" sheetId="2" r:id="rId2"/>
    <sheet name="Top Performing Videos" sheetId="3" r:id="rId3"/>
    <sheet name="Raw Data" sheetId="1" r:id="rId4"/>
  </sheets>
  <calcPr calcId="152511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2" i="1" l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H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</calcChain>
</file>

<file path=xl/sharedStrings.xml><?xml version="1.0" encoding="utf-8"?>
<sst xmlns="http://schemas.openxmlformats.org/spreadsheetml/2006/main" count="95" uniqueCount="72">
  <si>
    <t>Video Title</t>
  </si>
  <si>
    <t>Upload Date</t>
  </si>
  <si>
    <t>Views</t>
  </si>
  <si>
    <t>Comments</t>
  </si>
  <si>
    <t>Likes</t>
  </si>
  <si>
    <t>Like Ratio (%)</t>
  </si>
  <si>
    <t>One Piece Episode 1157</t>
  </si>
  <si>
    <t>One Piece is back!</t>
  </si>
  <si>
    <t>One Piece Elbaph Arc</t>
  </si>
  <si>
    <t>It's April again</t>
  </si>
  <si>
    <t>Yuta Okkotsu</t>
  </si>
  <si>
    <t>Yuta vs Ryu And Uro</t>
  </si>
  <si>
    <t>The switch up on Yuta</t>
  </si>
  <si>
    <t>Miss All Sunday</t>
  </si>
  <si>
    <t>Megumi Fushiguro</t>
  </si>
  <si>
    <t>Smoker in OPLA</t>
  </si>
  <si>
    <t>Itadori Yuji</t>
  </si>
  <si>
    <t>Higuruma</t>
  </si>
  <si>
    <t>Akaza and Koyuki</t>
  </si>
  <si>
    <t>Mikasa Ackerman</t>
  </si>
  <si>
    <t>Nika (Luffy Gear 5)</t>
  </si>
  <si>
    <t>The Monster Trio</t>
  </si>
  <si>
    <t>Zoro vs King</t>
  </si>
  <si>
    <t>Anime Mix</t>
  </si>
  <si>
    <t>Jujutsu Kaisen Episode 7</t>
  </si>
  <si>
    <t>Soul King Brook</t>
  </si>
  <si>
    <t>The One Piece!</t>
  </si>
  <si>
    <t>Yuji Itadori</t>
  </si>
  <si>
    <t>Jujutsu Kaisen Episode 5</t>
  </si>
  <si>
    <t>Gojo Satoru</t>
  </si>
  <si>
    <t>ASL Ace, Sabo and Luffy</t>
  </si>
  <si>
    <t>Best Transformation in Anime</t>
  </si>
  <si>
    <t>Failures of the Zenin Clan</t>
  </si>
  <si>
    <t>The Ghost of Zenin</t>
  </si>
  <si>
    <t>Maki and Mai</t>
  </si>
  <si>
    <t>Maki Zenin</t>
  </si>
  <si>
    <t>Maki in this episode</t>
  </si>
  <si>
    <t>Yuki Tsukumo</t>
  </si>
  <si>
    <t>He owns this song</t>
  </si>
  <si>
    <t>Jujutsu Kaisen Season 3</t>
  </si>
  <si>
    <t>Shoko Ieiri</t>
  </si>
  <si>
    <t>Yuta’s Entrance in Season 3</t>
  </si>
  <si>
    <t>Anime 2025 Recap</t>
  </si>
  <si>
    <t>Jujutsu Kaisen The Culling Game</t>
  </si>
  <si>
    <t>Chainsaw Man – The Movie: Reze Arc</t>
  </si>
  <si>
    <t>Bro is not Disliked</t>
  </si>
  <si>
    <t>Reze and Denji</t>
  </si>
  <si>
    <t>Bonney and Luffy Gear 5</t>
  </si>
  <si>
    <t>Jewelry Bonney Gear 5</t>
  </si>
  <si>
    <t>Future Pirate King</t>
  </si>
  <si>
    <t>Dragon Ball in Vertical</t>
  </si>
  <si>
    <t>Garp</t>
  </si>
  <si>
    <t>Waguri Kaoruko</t>
  </si>
  <si>
    <t>Akagami no Shanks</t>
  </si>
  <si>
    <t>Bro’s directly beefing with the Demon King</t>
  </si>
  <si>
    <t>Engagement Rate</t>
  </si>
  <si>
    <t>Like/View Ratio</t>
  </si>
  <si>
    <t>Month</t>
  </si>
  <si>
    <t>Grand Total</t>
  </si>
  <si>
    <t>2025</t>
  </si>
  <si>
    <t>Oct</t>
  </si>
  <si>
    <t>Nov</t>
  </si>
  <si>
    <t>Dec</t>
  </si>
  <si>
    <t>2026</t>
  </si>
  <si>
    <t>Jan</t>
  </si>
  <si>
    <t>Feb</t>
  </si>
  <si>
    <t>Mar</t>
  </si>
  <si>
    <t>Apr</t>
  </si>
  <si>
    <t>Total Views</t>
  </si>
  <si>
    <t>Total Likes</t>
  </si>
  <si>
    <t>Total Comments</t>
  </si>
  <si>
    <t>YouTube Channel Analytics Dashboard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</si>
</sst>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 applyAlignment="1">
      <alignment horizontal="left" indent="1"/>
    </xf>
    <xf numFmtId="0" fontId="0" fillId="0" borderId="0" xfId="0" applyNumberFormat="1"/>
    <xf numFmtId="0" fontId="2" fillId="0" borderId="1" xfId="0" applyFont="1" applyBorder="1"/>
    <xf numFmtId="3" fontId="2" fillId="0" borderId="1" xfId="0" applyNumberFormat="1" applyFont="1" applyBorder="1"/>
    <xf numFmtId="0" fontId="4" fillId="0" borderId="1" xfId="0" applyFont="1" applyBorder="1"/>
    <xf numFmtId="0" fontId="3" fillId="2" borderId="0" xfId="0" applyFont="1" applyFill="1"/>
    <xf numFmtId="0" fontId="0" fillId="2" borderId="0" xfId="0" applyFill="1"/>
  </cellXfs>
  <cellStyles count="2">
    <cellStyle name="Normal" xfId="0" builtinId="0"/>
    <cellStyle name="Percent" xfId="1" builtinId="5"/>
  </cellStyles>
  <dxfs count="11">
    <dxf>
      <numFmt numFmtId="0" formatCode="General"/>
      <alignment horizontal="center" vertical="center" textRotation="0" wrapText="0" indent="0" justifyLastLine="0" shrinkToFit="0" readingOrder="0"/>
    </dxf>
    <dxf>
      <numFmt numFmtId="14" formatCode="0.00%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[Sadad project.xlsx]Monthly Performance Analysis!PivotTable1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9.3053646072018797E-2"/>
          <c:y val="0.14249781277340332"/>
          <c:w val="0.69836652362899077"/>
          <c:h val="0.5812241178186060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'Monthly Performance Analysis'!$B$3</c:f>
              <c:strCache>
                <c:ptCount val="1"/>
                <c:pt idx="0">
                  <c:v>Total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'Monthly Performance Analysis'!$A$4:$A$13</c:f>
              <c:multiLvlStrCache>
                <c:ptCount val="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</c:lvl>
                <c:lvl>
                  <c:pt idx="0">
                    <c:v>2025</c:v>
                  </c:pt>
                  <c:pt idx="3">
                    <c:v>2026</c:v>
                  </c:pt>
                </c:lvl>
              </c:multiLvlStrCache>
            </c:multiLvlStrRef>
          </c:cat>
          <c:val>
            <c:numRef>
              <c:f>'Monthly Performance Analysis'!$B$4:$B$13</c:f>
              <c:numCache>
                <c:formatCode>General</c:formatCode>
                <c:ptCount val="7"/>
                <c:pt idx="0">
                  <c:v>60467</c:v>
                </c:pt>
                <c:pt idx="1">
                  <c:v>88696</c:v>
                </c:pt>
                <c:pt idx="2">
                  <c:v>108177</c:v>
                </c:pt>
                <c:pt idx="3">
                  <c:v>486648</c:v>
                </c:pt>
                <c:pt idx="4">
                  <c:v>78969</c:v>
                </c:pt>
                <c:pt idx="5">
                  <c:v>97868</c:v>
                </c:pt>
                <c:pt idx="6">
                  <c:v>17305</c:v>
                </c:pt>
              </c:numCache>
            </c:numRef>
          </c:val>
        </c:ser>
        <c:ser>
          <c:idx val="1"/>
          <c:order val="1"/>
          <c:tx>
            <c:strRef>
              <c:f>'Monthly Performance Analysis'!$C$3</c:f>
              <c:strCache>
                <c:ptCount val="1"/>
                <c:pt idx="0">
                  <c:v>Total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'Monthly Performance Analysis'!$A$4:$A$13</c:f>
              <c:multiLvlStrCache>
                <c:ptCount val="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</c:lvl>
                <c:lvl>
                  <c:pt idx="0">
                    <c:v>2025</c:v>
                  </c:pt>
                  <c:pt idx="3">
                    <c:v>2026</c:v>
                  </c:pt>
                </c:lvl>
              </c:multiLvlStrCache>
            </c:multiLvlStrRef>
          </c:cat>
          <c:val>
            <c:numRef>
              <c:f>'Monthly Performance Analysis'!$C$4:$C$13</c:f>
              <c:numCache>
                <c:formatCode>General</c:formatCode>
                <c:ptCount val="7"/>
                <c:pt idx="0">
                  <c:v>2643</c:v>
                </c:pt>
                <c:pt idx="1">
                  <c:v>2877</c:v>
                </c:pt>
                <c:pt idx="2">
                  <c:v>4345</c:v>
                </c:pt>
                <c:pt idx="3">
                  <c:v>20632</c:v>
                </c:pt>
                <c:pt idx="4">
                  <c:v>3450</c:v>
                </c:pt>
                <c:pt idx="5">
                  <c:v>3094</c:v>
                </c:pt>
                <c:pt idx="6">
                  <c:v>719</c:v>
                </c:pt>
              </c:numCache>
            </c:numRef>
          </c:val>
        </c:ser>
        <c:ser>
          <c:idx val="2"/>
          <c:order val="2"/>
          <c:tx>
            <c:strRef>
              <c:f>'Monthly Performance Analysis'!$D$3</c:f>
              <c:strCache>
                <c:ptCount val="1"/>
                <c:pt idx="0">
                  <c:v>Total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'Monthly Performance Analysis'!$A$4:$A$13</c:f>
              <c:multiLvlStrCache>
                <c:ptCount val="7"/>
                <c:lvl>
                  <c:pt idx="0">
                    <c:v>Oct</c:v>
                  </c:pt>
                  <c:pt idx="1">
                    <c:v>Nov</c:v>
                  </c:pt>
                  <c:pt idx="2">
                    <c:v>Dec</c:v>
                  </c:pt>
                  <c:pt idx="3">
                    <c:v>Jan</c:v>
                  </c:pt>
                  <c:pt idx="4">
                    <c:v>Feb</c:v>
                  </c:pt>
                  <c:pt idx="5">
                    <c:v>Mar</c:v>
                  </c:pt>
                  <c:pt idx="6">
                    <c:v>Apr</c:v>
                  </c:pt>
                </c:lvl>
                <c:lvl>
                  <c:pt idx="0">
                    <c:v>2025</c:v>
                  </c:pt>
                  <c:pt idx="3">
                    <c:v>2026</c:v>
                  </c:pt>
                </c:lvl>
              </c:multiLvlStrCache>
            </c:multiLvlStrRef>
          </c:cat>
          <c:val>
            <c:numRef>
              <c:f>'Monthly Performance Analysis'!$D$4:$D$13</c:f>
              <c:numCache>
                <c:formatCode>General</c:formatCode>
                <c:ptCount val="7"/>
                <c:pt idx="0">
                  <c:v>81</c:v>
                </c:pt>
                <c:pt idx="1">
                  <c:v>97</c:v>
                </c:pt>
                <c:pt idx="2">
                  <c:v>169</c:v>
                </c:pt>
                <c:pt idx="3">
                  <c:v>414</c:v>
                </c:pt>
                <c:pt idx="4">
                  <c:v>165</c:v>
                </c:pt>
                <c:pt idx="5">
                  <c:v>110</c:v>
                </c:pt>
                <c:pt idx="6">
                  <c:v>40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33827216"/>
        <c:axId val="-1533826672"/>
      </c:barChart>
      <c:catAx>
        <c:axId val="-1533827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3826672"/>
        <c:crosses val="autoZero"/>
        <c:auto val="1"/>
        <c:lblAlgn val="ctr"/>
        <c:lblOffset val="100"/>
        <c:noMultiLvlLbl val="0"/>
      </c:catAx>
      <c:valAx>
        <c:axId val="-1533826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38272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[Sadad project.xlsx]Top Performing Videos!PivotTable2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'Top Performing Videos'!$B$3</c:f>
              <c:strCache>
                <c:ptCount val="1"/>
                <c:pt idx="0">
                  <c:v>Total Views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'Top Performing Videos'!$A$4:$A$13</c:f>
              <c:strCache>
                <c:ptCount val="10"/>
                <c:pt idx="0">
                  <c:v>Maki in this episode</c:v>
                </c:pt>
                <c:pt idx="1">
                  <c:v>Gojo Satoru</c:v>
                </c:pt>
                <c:pt idx="2">
                  <c:v>Yuta vs Ryu And Uro</c:v>
                </c:pt>
                <c:pt idx="3">
                  <c:v>Jujutsu Kaisen Episode 5</c:v>
                </c:pt>
                <c:pt idx="4">
                  <c:v>The Ghost of Zenin</c:v>
                </c:pt>
                <c:pt idx="5">
                  <c:v>Waguri Kaoruko</c:v>
                </c:pt>
                <c:pt idx="6">
                  <c:v>Chainsaw Man – The Movie: Reze Arc</c:v>
                </c:pt>
                <c:pt idx="7">
                  <c:v>Akaza and Koyuki</c:v>
                </c:pt>
                <c:pt idx="8">
                  <c:v>Maki and Mai</c:v>
                </c:pt>
                <c:pt idx="9">
                  <c:v>Reze and Denji</c:v>
                </c:pt>
              </c:strCache>
            </c:strRef>
          </c:cat>
          <c:val>
            <c:numRef>
              <c:f>'Top Performing Videos'!$B$4:$B$13</c:f>
              <c:numCache>
                <c:formatCode>General</c:formatCode>
                <c:ptCount val="10"/>
                <c:pt idx="0">
                  <c:v>273614</c:v>
                </c:pt>
                <c:pt idx="1">
                  <c:v>65148</c:v>
                </c:pt>
                <c:pt idx="2">
                  <c:v>52251</c:v>
                </c:pt>
                <c:pt idx="3">
                  <c:v>40543</c:v>
                </c:pt>
                <c:pt idx="4">
                  <c:v>31592</c:v>
                </c:pt>
                <c:pt idx="5">
                  <c:v>29259</c:v>
                </c:pt>
                <c:pt idx="6">
                  <c:v>27517</c:v>
                </c:pt>
                <c:pt idx="7">
                  <c:v>25170</c:v>
                </c:pt>
                <c:pt idx="8">
                  <c:v>24265</c:v>
                </c:pt>
                <c:pt idx="9">
                  <c:v>18813</c:v>
                </c:pt>
              </c:numCache>
            </c:numRef>
          </c:val>
        </c:ser>
        <c:ser>
          <c:idx val="1"/>
          <c:order val="1"/>
          <c:tx>
            <c:strRef>
              <c:f>'Top Performing Videos'!$C$3</c:f>
              <c:strCache>
                <c:ptCount val="1"/>
                <c:pt idx="0">
                  <c:v>Total Likes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'Top Performing Videos'!$A$4:$A$13</c:f>
              <c:strCache>
                <c:ptCount val="10"/>
                <c:pt idx="0">
                  <c:v>Maki in this episode</c:v>
                </c:pt>
                <c:pt idx="1">
                  <c:v>Gojo Satoru</c:v>
                </c:pt>
                <c:pt idx="2">
                  <c:v>Yuta vs Ryu And Uro</c:v>
                </c:pt>
                <c:pt idx="3">
                  <c:v>Jujutsu Kaisen Episode 5</c:v>
                </c:pt>
                <c:pt idx="4">
                  <c:v>The Ghost of Zenin</c:v>
                </c:pt>
                <c:pt idx="5">
                  <c:v>Waguri Kaoruko</c:v>
                </c:pt>
                <c:pt idx="6">
                  <c:v>Chainsaw Man – The Movie: Reze Arc</c:v>
                </c:pt>
                <c:pt idx="7">
                  <c:v>Akaza and Koyuki</c:v>
                </c:pt>
                <c:pt idx="8">
                  <c:v>Maki and Mai</c:v>
                </c:pt>
                <c:pt idx="9">
                  <c:v>Reze and Denji</c:v>
                </c:pt>
              </c:strCache>
            </c:strRef>
          </c:cat>
          <c:val>
            <c:numRef>
              <c:f>'Top Performing Videos'!$C$4:$C$13</c:f>
              <c:numCache>
                <c:formatCode>General</c:formatCode>
                <c:ptCount val="10"/>
                <c:pt idx="0">
                  <c:v>11687</c:v>
                </c:pt>
                <c:pt idx="1">
                  <c:v>2056</c:v>
                </c:pt>
                <c:pt idx="2">
                  <c:v>1277</c:v>
                </c:pt>
                <c:pt idx="3">
                  <c:v>1686</c:v>
                </c:pt>
                <c:pt idx="4">
                  <c:v>1406</c:v>
                </c:pt>
                <c:pt idx="5">
                  <c:v>1134</c:v>
                </c:pt>
                <c:pt idx="6">
                  <c:v>800</c:v>
                </c:pt>
                <c:pt idx="7">
                  <c:v>1042</c:v>
                </c:pt>
                <c:pt idx="8">
                  <c:v>806</c:v>
                </c:pt>
                <c:pt idx="9">
                  <c:v>1026</c:v>
                </c:pt>
              </c:numCache>
            </c:numRef>
          </c:val>
        </c:ser>
        <c:ser>
          <c:idx val="2"/>
          <c:order val="2"/>
          <c:tx>
            <c:strRef>
              <c:f>'Top Performing Videos'!$D$3</c:f>
              <c:strCache>
                <c:ptCount val="1"/>
                <c:pt idx="0">
                  <c:v>Total Comments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'Top Performing Videos'!$A$4:$A$13</c:f>
              <c:strCache>
                <c:ptCount val="10"/>
                <c:pt idx="0">
                  <c:v>Maki in this episode</c:v>
                </c:pt>
                <c:pt idx="1">
                  <c:v>Gojo Satoru</c:v>
                </c:pt>
                <c:pt idx="2">
                  <c:v>Yuta vs Ryu And Uro</c:v>
                </c:pt>
                <c:pt idx="3">
                  <c:v>Jujutsu Kaisen Episode 5</c:v>
                </c:pt>
                <c:pt idx="4">
                  <c:v>The Ghost of Zenin</c:v>
                </c:pt>
                <c:pt idx="5">
                  <c:v>Waguri Kaoruko</c:v>
                </c:pt>
                <c:pt idx="6">
                  <c:v>Chainsaw Man – The Movie: Reze Arc</c:v>
                </c:pt>
                <c:pt idx="7">
                  <c:v>Akaza and Koyuki</c:v>
                </c:pt>
                <c:pt idx="8">
                  <c:v>Maki and Mai</c:v>
                </c:pt>
                <c:pt idx="9">
                  <c:v>Reze and Denji</c:v>
                </c:pt>
              </c:strCache>
            </c:strRef>
          </c:cat>
          <c:val>
            <c:numRef>
              <c:f>'Top Performing Videos'!$D$4:$D$13</c:f>
              <c:numCache>
                <c:formatCode>General</c:formatCode>
                <c:ptCount val="10"/>
                <c:pt idx="0">
                  <c:v>111</c:v>
                </c:pt>
                <c:pt idx="1">
                  <c:v>67</c:v>
                </c:pt>
                <c:pt idx="2">
                  <c:v>28</c:v>
                </c:pt>
                <c:pt idx="3">
                  <c:v>44</c:v>
                </c:pt>
                <c:pt idx="4">
                  <c:v>18</c:v>
                </c:pt>
                <c:pt idx="5">
                  <c:v>45</c:v>
                </c:pt>
                <c:pt idx="6">
                  <c:v>32</c:v>
                </c:pt>
                <c:pt idx="7">
                  <c:v>33</c:v>
                </c:pt>
                <c:pt idx="8">
                  <c:v>14</c:v>
                </c:pt>
                <c:pt idx="9">
                  <c:v>15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-1533823952"/>
        <c:axId val="-1533823408"/>
      </c:barChart>
      <c:catAx>
        <c:axId val="-153382395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3823408"/>
        <c:crosses val="autoZero"/>
        <c:auto val="1"/>
        <c:lblAlgn val="ctr"/>
        <c:lblOffset val="100"/>
        <c:noMultiLvlLbl val="0"/>
      </c:catAx>
      <c:valAx>
        <c:axId val="-1533823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5338239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5</xdr:row>
      <xdr:rowOff>7620</xdr:rowOff>
    </xdr:from>
    <xdr:to>
      <xdr:col>8</xdr:col>
      <xdr:colOff>312420</xdr:colOff>
      <xdr:row>20</xdr:row>
      <xdr:rowOff>7620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1127760</xdr:colOff>
      <xdr:row>4</xdr:row>
      <xdr:rowOff>175260</xdr:rowOff>
    </xdr:from>
    <xdr:to>
      <xdr:col>18</xdr:col>
      <xdr:colOff>137160</xdr:colOff>
      <xdr:row>19</xdr:row>
      <xdr:rowOff>175260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28.757452430553" createdVersion="5" refreshedVersion="5" minRefreshableVersion="3" recordCount="54">
  <cacheSource type="worksheet">
    <worksheetSource name="Table1"/>
  </cacheSource>
  <cacheFields count="10">
    <cacheField name="Video Title" numFmtId="0">
      <sharedItems count="49">
        <s v="One Piece Episode 1157"/>
        <s v="One Piece is back!"/>
        <s v="One Piece Elbaph Arc"/>
        <s v="It's April again"/>
        <s v="Yuta Okkotsu"/>
        <s v="Yuta vs Ryu And Uro"/>
        <s v="The switch up on Yuta"/>
        <s v="Miss All Sunday"/>
        <s v="Megumi Fushiguro"/>
        <s v="Smoker in OPLA"/>
        <s v="Itadori Yuji"/>
        <s v="Higuruma"/>
        <s v="Akaza and Koyuki"/>
        <s v="Mikasa Ackerman"/>
        <s v="Nika (Luffy Gear 5)"/>
        <s v="The Monster Trio"/>
        <s v="Zoro vs King"/>
        <s v="Anime Mix"/>
        <s v="Jujutsu Kaisen Episode 7"/>
        <s v="Soul King Brook"/>
        <s v="The One Piece!"/>
        <s v="Yuji Itadori"/>
        <s v="Jujutsu Kaisen Episode 5"/>
        <s v="Gojo Satoru"/>
        <s v="ASL Ace, Sabo and Luffy"/>
        <s v="Best Transformation in Anime"/>
        <s v="Failures of the Zenin Clan"/>
        <s v="The Ghost of Zenin"/>
        <s v="Maki and Mai"/>
        <s v="Maki Zenin"/>
        <s v="Maki in this episode"/>
        <s v="Yuki Tsukumo"/>
        <s v="He owns this song"/>
        <s v="Jujutsu Kaisen Season 3"/>
        <s v="Shoko Ieiri"/>
        <s v="Yuta’s Entrance in Season 3"/>
        <s v="Anime 2025 Recap"/>
        <s v="Jujutsu Kaisen The Culling Game"/>
        <s v="Chainsaw Man – The Movie: Reze Arc"/>
        <s v="Bro is not Disliked"/>
        <s v="Reze and Denji"/>
        <s v="Bonney and Luffy Gear 5"/>
        <s v="Jewelry Bonney Gear 5"/>
        <s v="Future Pirate King"/>
        <s v="Dragon Ball in Vertical"/>
        <s v="Garp"/>
        <s v="Waguri Kaoruko"/>
        <s v="Akagami no Shanks"/>
        <s v="Bro’s directly beefing with the Demon King"/>
      </sharedItems>
    </cacheField>
    <cacheField name="Upload Date" numFmtId="14">
      <sharedItems containsSemiMixedTypes="0" containsNonDate="0" containsDate="1" containsString="0" minDate="2025-10-13T00:00:00" maxDate="2026-04-16T00:00:00" count="51">
        <d v="2026-04-15T00:00:00"/>
        <d v="2026-04-05T00:00:00"/>
        <d v="2026-04-03T00:00:00"/>
        <d v="2026-04-01T00:00:00"/>
        <d v="2026-03-29T00:00:00"/>
        <d v="2026-03-28T00:00:00"/>
        <d v="2026-03-27T00:00:00"/>
        <d v="2026-03-24T00:00:00"/>
        <d v="2026-03-18T00:00:00"/>
        <d v="2026-03-15T00:00:00"/>
        <d v="2026-03-13T00:00:00"/>
        <d v="2026-03-08T00:00:00"/>
        <d v="2026-03-06T00:00:00"/>
        <d v="2026-03-02T00:00:00"/>
        <d v="2026-02-27T00:00:00"/>
        <d v="2026-02-25T00:00:00"/>
        <d v="2026-02-21T00:00:00"/>
        <d v="2026-02-16T00:00:00"/>
        <d v="2026-02-14T00:00:00"/>
        <d v="2026-02-13T00:00:00"/>
        <d v="2026-02-12T00:00:00"/>
        <d v="2026-02-09T00:00:00"/>
        <d v="2026-02-07T00:00:00"/>
        <d v="2026-01-31T00:00:00"/>
        <d v="2026-01-30T00:00:00"/>
        <d v="2026-01-29T00:00:00"/>
        <d v="2026-01-27T00:00:00"/>
        <d v="2026-01-26T00:00:00"/>
        <d v="2026-01-24T00:00:00"/>
        <d v="2026-01-23T00:00:00"/>
        <d v="2026-01-22T00:00:00"/>
        <d v="2026-01-20T00:00:00"/>
        <d v="2026-01-19T00:00:00"/>
        <d v="2026-01-18T00:00:00"/>
        <d v="2026-01-16T00:00:00"/>
        <d v="2026-01-14T00:00:00"/>
        <d v="2026-01-12T00:00:00"/>
        <d v="2025-12-27T00:00:00"/>
        <d v="2025-12-22T00:00:00"/>
        <d v="2025-12-18T00:00:00"/>
        <d v="2025-12-14T00:00:00"/>
        <d v="2025-12-12T00:00:00"/>
        <d v="2025-12-10T00:00:00"/>
        <d v="2025-12-01T00:00:00"/>
        <d v="2025-11-26T00:00:00"/>
        <d v="2025-11-14T00:00:00"/>
        <d v="2025-11-11T00:00:00"/>
        <d v="2025-11-06T00:00:00"/>
        <d v="2025-10-25T00:00:00"/>
        <d v="2025-10-18T00:00:00"/>
        <d v="2025-10-13T00:00:00"/>
      </sharedItems>
      <fieldGroup par="9" base="1">
        <rangePr groupBy="months" startDate="2025-10-13T00:00:00" endDate="2026-04-16T00:00:00"/>
        <groupItems count="14">
          <s v="&lt;13-10-2025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6-04-2026"/>
        </groupItems>
      </fieldGroup>
    </cacheField>
    <cacheField name="Views" numFmtId="0">
      <sharedItems containsSemiMixedTypes="0" containsString="0" containsNumber="1" containsInteger="1" minValue="2632" maxValue="273614"/>
    </cacheField>
    <cacheField name="Comments" numFmtId="0">
      <sharedItems containsSemiMixedTypes="0" containsString="0" containsNumber="1" containsInteger="1" minValue="2" maxValue="111"/>
    </cacheField>
    <cacheField name="Likes" numFmtId="0">
      <sharedItems containsSemiMixedTypes="0" containsString="0" containsNumber="1" containsInteger="1" minValue="75" maxValue="11687"/>
    </cacheField>
    <cacheField name="Like Ratio (%)" numFmtId="0">
      <sharedItems containsSemiMixedTypes="0" containsString="0" containsNumber="1" minValue="97.4" maxValue="100"/>
    </cacheField>
    <cacheField name="Engagement Rate" numFmtId="10">
      <sharedItems containsSemiMixedTypes="0" containsString="0" containsNumber="1" minValue="2.3458720882377149E-2" maxValue="8.4308786486886944E-2"/>
    </cacheField>
    <cacheField name="Like/View Ratio" numFmtId="10">
      <sharedItems containsSemiMixedTypes="0" containsString="0" containsNumber="1" minValue="2.3006008724997942E-2" maxValue="8.2382575196325386E-2"/>
    </cacheField>
    <cacheField name="Month" numFmtId="0">
      <sharedItems count="7">
        <s v="Apr-2026"/>
        <s v="Mar-2026"/>
        <s v="Feb-2026"/>
        <s v="Jan-2026"/>
        <s v="Dec-2025"/>
        <s v="Nov-2025"/>
        <s v="Oct-2025"/>
      </sharedItems>
    </cacheField>
    <cacheField name="Years" numFmtId="0" databaseField="0">
      <fieldGroup base="1">
        <rangePr groupBy="years" startDate="2025-10-13T00:00:00" endDate="2026-04-16T00:00:00"/>
        <groupItems count="4">
          <s v="&lt;13-10-2025"/>
          <s v="2025"/>
          <s v="2026"/>
          <s v="&gt;16-04-20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4">
  <r>
    <x v="0"/>
    <x v="0"/>
    <n v="3778"/>
    <n v="2"/>
    <n v="128"/>
    <n v="97.7"/>
    <n v="3.4409740603493909E-2"/>
    <n v="3.3880359978824777E-2"/>
    <x v="0"/>
  </r>
  <r>
    <x v="1"/>
    <x v="1"/>
    <n v="3062"/>
    <n v="10"/>
    <n v="167"/>
    <n v="99.4"/>
    <n v="5.7805355976485957E-2"/>
    <n v="5.4539516655780537E-2"/>
    <x v="0"/>
  </r>
  <r>
    <x v="2"/>
    <x v="2"/>
    <n v="5227"/>
    <n v="11"/>
    <n v="131"/>
    <n v="99.2"/>
    <n v="2.7166634780945092E-2"/>
    <n v="2.5062177157069064E-2"/>
    <x v="0"/>
  </r>
  <r>
    <x v="3"/>
    <x v="3"/>
    <n v="5238"/>
    <n v="17"/>
    <n v="293"/>
    <n v="99.7"/>
    <n v="5.9182894234440626E-2"/>
    <n v="5.5937380679648721E-2"/>
    <x v="0"/>
  </r>
  <r>
    <x v="4"/>
    <x v="4"/>
    <n v="7224"/>
    <n v="10"/>
    <n v="340"/>
    <n v="99.4"/>
    <n v="4.8449612403100778E-2"/>
    <n v="4.706533776301218E-2"/>
    <x v="1"/>
  </r>
  <r>
    <x v="5"/>
    <x v="5"/>
    <n v="24298"/>
    <n v="11"/>
    <n v="559"/>
    <n v="99.1"/>
    <n v="2.3458720882377149E-2"/>
    <n v="2.3006008724997942E-2"/>
    <x v="1"/>
  </r>
  <r>
    <x v="5"/>
    <x v="6"/>
    <n v="27953"/>
    <n v="17"/>
    <n v="718"/>
    <n v="99.4"/>
    <n v="2.6294136586412907E-2"/>
    <n v="2.5685972883053697E-2"/>
    <x v="1"/>
  </r>
  <r>
    <x v="6"/>
    <x v="7"/>
    <n v="4721"/>
    <n v="13"/>
    <n v="165"/>
    <n v="99.4"/>
    <n v="3.770387629739462E-2"/>
    <n v="3.495022241050625E-2"/>
    <x v="1"/>
  </r>
  <r>
    <x v="7"/>
    <x v="8"/>
    <n v="10492"/>
    <n v="18"/>
    <n v="479"/>
    <n v="99"/>
    <n v="4.736942432329394E-2"/>
    <n v="4.5653831490659554E-2"/>
    <x v="1"/>
  </r>
  <r>
    <x v="8"/>
    <x v="9"/>
    <n v="3454"/>
    <n v="11"/>
    <n v="135"/>
    <n v="100"/>
    <n v="4.2269832078749278E-2"/>
    <n v="3.9085118702953101E-2"/>
    <x v="1"/>
  </r>
  <r>
    <x v="9"/>
    <x v="10"/>
    <n v="2632"/>
    <n v="8"/>
    <n v="75"/>
    <n v="97.4"/>
    <n v="3.1534954407294834E-2"/>
    <n v="2.8495440729483283E-2"/>
    <x v="1"/>
  </r>
  <r>
    <x v="10"/>
    <x v="11"/>
    <n v="2941"/>
    <n v="5"/>
    <n v="141"/>
    <n v="99.3"/>
    <n v="4.9642978578714726E-2"/>
    <n v="4.7942876572594356E-2"/>
    <x v="1"/>
  </r>
  <r>
    <x v="11"/>
    <x v="12"/>
    <n v="4741"/>
    <n v="9"/>
    <n v="133"/>
    <n v="99.3"/>
    <n v="2.9951487028053152E-2"/>
    <n v="2.8053153343176544E-2"/>
    <x v="1"/>
  </r>
  <r>
    <x v="12"/>
    <x v="13"/>
    <n v="9412"/>
    <n v="8"/>
    <n v="349"/>
    <n v="98.6"/>
    <n v="3.7930301742456436E-2"/>
    <n v="3.7080322991925201E-2"/>
    <x v="1"/>
  </r>
  <r>
    <x v="13"/>
    <x v="14"/>
    <n v="4399"/>
    <n v="6"/>
    <n v="154"/>
    <n v="97.5"/>
    <n v="3.6371902705160261E-2"/>
    <n v="3.5007956353716757E-2"/>
    <x v="2"/>
  </r>
  <r>
    <x v="14"/>
    <x v="15"/>
    <n v="8455"/>
    <n v="26"/>
    <n v="402"/>
    <n v="99.5"/>
    <n v="5.0620934358367828E-2"/>
    <n v="4.7545830869308102E-2"/>
    <x v="2"/>
  </r>
  <r>
    <x v="15"/>
    <x v="16"/>
    <n v="12115"/>
    <n v="26"/>
    <n v="487"/>
    <n v="99.4"/>
    <n v="4.234420140321915E-2"/>
    <n v="4.0198101527032605E-2"/>
    <x v="2"/>
  </r>
  <r>
    <x v="16"/>
    <x v="17"/>
    <n v="3852"/>
    <n v="19"/>
    <n v="144"/>
    <n v="98"/>
    <n v="4.2315680166147458E-2"/>
    <n v="3.7383177570093455E-2"/>
    <x v="2"/>
  </r>
  <r>
    <x v="17"/>
    <x v="18"/>
    <n v="4825"/>
    <n v="13"/>
    <n v="229"/>
    <n v="99.6"/>
    <n v="5.0155440414507771E-2"/>
    <n v="4.7461139896373059E-2"/>
    <x v="2"/>
  </r>
  <r>
    <x v="18"/>
    <x v="19"/>
    <n v="17626"/>
    <n v="17"/>
    <n v="879"/>
    <n v="99.6"/>
    <n v="5.0833995234312944E-2"/>
    <n v="4.9869510949733346E-2"/>
    <x v="2"/>
  </r>
  <r>
    <x v="19"/>
    <x v="20"/>
    <n v="6554"/>
    <n v="6"/>
    <n v="276"/>
    <n v="99.3"/>
    <n v="4.3027158986878242E-2"/>
    <n v="4.2111687519072322E-2"/>
    <x v="2"/>
  </r>
  <r>
    <x v="20"/>
    <x v="21"/>
    <n v="6257"/>
    <n v="22"/>
    <n v="331"/>
    <n v="99.1"/>
    <n v="5.6416813169250436E-2"/>
    <n v="5.2900751158702256E-2"/>
    <x v="2"/>
  </r>
  <r>
    <x v="8"/>
    <x v="22"/>
    <n v="14886"/>
    <n v="30"/>
    <n v="548"/>
    <n v="99.1"/>
    <n v="3.8828429396748625E-2"/>
    <n v="3.6813112992073085E-2"/>
    <x v="2"/>
  </r>
  <r>
    <x v="21"/>
    <x v="23"/>
    <n v="15480"/>
    <n v="37"/>
    <n v="806"/>
    <n v="99.5"/>
    <n v="5.4457364341085272E-2"/>
    <n v="5.20671834625323E-2"/>
    <x v="3"/>
  </r>
  <r>
    <x v="22"/>
    <x v="24"/>
    <n v="40543"/>
    <n v="44"/>
    <n v="1686"/>
    <n v="99.3"/>
    <n v="4.2670744641491752E-2"/>
    <n v="4.1585477147719707E-2"/>
    <x v="3"/>
  </r>
  <r>
    <x v="23"/>
    <x v="25"/>
    <n v="5700"/>
    <n v="15"/>
    <n v="229"/>
    <n v="100"/>
    <n v="4.2807017543859648E-2"/>
    <n v="4.0175438596491225E-2"/>
    <x v="3"/>
  </r>
  <r>
    <x v="24"/>
    <x v="26"/>
    <n v="4346"/>
    <n v="9"/>
    <n v="129"/>
    <n v="100"/>
    <n v="3.1753336401288544E-2"/>
    <n v="2.9682466635987115E-2"/>
    <x v="3"/>
  </r>
  <r>
    <x v="25"/>
    <x v="27"/>
    <n v="7314"/>
    <n v="19"/>
    <n v="216"/>
    <n v="99.5"/>
    <n v="3.2130161334427129E-2"/>
    <n v="2.9532403609515995E-2"/>
    <x v="3"/>
  </r>
  <r>
    <x v="26"/>
    <x v="27"/>
    <n v="14982"/>
    <n v="15"/>
    <n v="617"/>
    <n v="100"/>
    <n v="4.2183954078227205E-2"/>
    <n v="4.1182752636497129E-2"/>
    <x v="3"/>
  </r>
  <r>
    <x v="27"/>
    <x v="28"/>
    <n v="31592"/>
    <n v="18"/>
    <n v="1406"/>
    <n v="99.4"/>
    <n v="4.5074702456318054E-2"/>
    <n v="4.4504937958976955E-2"/>
    <x v="3"/>
  </r>
  <r>
    <x v="28"/>
    <x v="29"/>
    <n v="24265"/>
    <n v="14"/>
    <n v="806"/>
    <n v="99.5"/>
    <n v="3.3793529775396659E-2"/>
    <n v="3.3216567071914282E-2"/>
    <x v="3"/>
  </r>
  <r>
    <x v="29"/>
    <x v="29"/>
    <n v="8683"/>
    <n v="9"/>
    <n v="332"/>
    <n v="100"/>
    <n v="3.927214096510423E-2"/>
    <n v="3.8235632845790624E-2"/>
    <x v="3"/>
  </r>
  <r>
    <x v="30"/>
    <x v="29"/>
    <n v="273614"/>
    <n v="111"/>
    <n v="11687"/>
    <n v="99.6"/>
    <n v="4.3119138640566636E-2"/>
    <n v="4.2713457644711163E-2"/>
    <x v="3"/>
  </r>
  <r>
    <x v="31"/>
    <x v="30"/>
    <n v="11170"/>
    <n v="9"/>
    <n v="415"/>
    <n v="98.8"/>
    <n v="3.7958818263205012E-2"/>
    <n v="3.7153088630259623E-2"/>
    <x v="3"/>
  </r>
  <r>
    <x v="32"/>
    <x v="31"/>
    <n v="6749"/>
    <n v="13"/>
    <n v="556"/>
    <n v="99.3"/>
    <n v="8.4308786486886944E-2"/>
    <n v="8.2382575196325386E-2"/>
    <x v="3"/>
  </r>
  <r>
    <x v="33"/>
    <x v="32"/>
    <n v="4173"/>
    <n v="18"/>
    <n v="175"/>
    <n v="100"/>
    <n v="4.6249700455307935E-2"/>
    <n v="4.1936256889527915E-2"/>
    <x v="3"/>
  </r>
  <r>
    <x v="34"/>
    <x v="33"/>
    <n v="4841"/>
    <n v="20"/>
    <n v="148"/>
    <n v="98"/>
    <n v="3.4703573641809544E-2"/>
    <n v="3.0572195827308406E-2"/>
    <x v="3"/>
  </r>
  <r>
    <x v="35"/>
    <x v="34"/>
    <n v="12147"/>
    <n v="18"/>
    <n v="535"/>
    <n v="99.6"/>
    <n v="4.552564419198156E-2"/>
    <n v="4.4043796822260638E-2"/>
    <x v="3"/>
  </r>
  <r>
    <x v="17"/>
    <x v="35"/>
    <n v="5291"/>
    <n v="20"/>
    <n v="196"/>
    <n v="99"/>
    <n v="4.0824040824040821E-2"/>
    <n v="3.7044037044037047E-2"/>
    <x v="3"/>
  </r>
  <r>
    <x v="12"/>
    <x v="36"/>
    <n v="15758"/>
    <n v="25"/>
    <n v="693"/>
    <n v="99.7"/>
    <n v="4.5564157888056858E-2"/>
    <n v="4.3977662139865467E-2"/>
    <x v="3"/>
  </r>
  <r>
    <x v="36"/>
    <x v="37"/>
    <n v="9926"/>
    <n v="38"/>
    <n v="428"/>
    <n v="99.1"/>
    <n v="4.6947410840217613E-2"/>
    <n v="4.3119081200886561E-2"/>
    <x v="4"/>
  </r>
  <r>
    <x v="37"/>
    <x v="38"/>
    <n v="11567"/>
    <n v="19"/>
    <n v="486"/>
    <n v="99.2"/>
    <n v="4.3658684187775569E-2"/>
    <n v="4.2016080228235497E-2"/>
    <x v="4"/>
  </r>
  <r>
    <x v="38"/>
    <x v="39"/>
    <n v="27517"/>
    <n v="32"/>
    <n v="800"/>
    <n v="98.3"/>
    <n v="3.0235854199222298E-2"/>
    <n v="2.907293673002144E-2"/>
    <x v="4"/>
  </r>
  <r>
    <x v="39"/>
    <x v="40"/>
    <n v="17207"/>
    <n v="26"/>
    <n v="868"/>
    <n v="99.5"/>
    <n v="5.1955599465333874E-2"/>
    <n v="5.0444586505491953E-2"/>
    <x v="4"/>
  </r>
  <r>
    <x v="40"/>
    <x v="41"/>
    <n v="18813"/>
    <n v="15"/>
    <n v="1026"/>
    <n v="99.7"/>
    <n v="5.5334077499601342E-2"/>
    <n v="5.453675649816616E-2"/>
    <x v="4"/>
  </r>
  <r>
    <x v="41"/>
    <x v="42"/>
    <n v="13228"/>
    <n v="24"/>
    <n v="410"/>
    <n v="99.5"/>
    <n v="3.2809192621711523E-2"/>
    <n v="3.0994859389174477E-2"/>
    <x v="4"/>
  </r>
  <r>
    <x v="42"/>
    <x v="43"/>
    <n v="9919"/>
    <n v="15"/>
    <n v="327"/>
    <n v="99.4"/>
    <n v="3.4479282185704202E-2"/>
    <n v="3.2967032967032968E-2"/>
    <x v="4"/>
  </r>
  <r>
    <x v="43"/>
    <x v="44"/>
    <n v="4480"/>
    <n v="12"/>
    <n v="104"/>
    <n v="99.4"/>
    <n v="2.5892857142857145E-2"/>
    <n v="2.3214285714285715E-2"/>
    <x v="5"/>
  </r>
  <r>
    <x v="23"/>
    <x v="45"/>
    <n v="59448"/>
    <n v="52"/>
    <n v="1827"/>
    <n v="99.3"/>
    <n v="3.1607455255012781E-2"/>
    <n v="3.0732741219216795E-2"/>
    <x v="5"/>
  </r>
  <r>
    <x v="44"/>
    <x v="46"/>
    <n v="16704"/>
    <n v="31"/>
    <n v="691"/>
    <n v="99.1"/>
    <n v="4.3223180076628349E-2"/>
    <n v="4.136733716475096E-2"/>
    <x v="5"/>
  </r>
  <r>
    <x v="45"/>
    <x v="47"/>
    <n v="8064"/>
    <n v="2"/>
    <n v="255"/>
    <n v="98.8"/>
    <n v="3.187003968253968E-2"/>
    <n v="3.1622023809523808E-2"/>
    <x v="5"/>
  </r>
  <r>
    <x v="46"/>
    <x v="48"/>
    <n v="29259"/>
    <n v="45"/>
    <n v="1134"/>
    <n v="99.5"/>
    <n v="4.0295293755767458E-2"/>
    <n v="3.8757305444478619E-2"/>
    <x v="6"/>
  </r>
  <r>
    <x v="47"/>
    <x v="49"/>
    <n v="12628"/>
    <n v="13"/>
    <n v="385"/>
    <n v="99.5"/>
    <n v="3.1517263224580296E-2"/>
    <n v="3.048780487804878E-2"/>
    <x v="6"/>
  </r>
  <r>
    <x v="48"/>
    <x v="50"/>
    <n v="18580"/>
    <n v="23"/>
    <n v="1124"/>
    <n v="99.6"/>
    <n v="6.1733046286329384E-2"/>
    <n v="6.0495156081808395E-2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 chartFormat="5" rowHeaderCaption="Month">
  <location ref="A3:D13" firstHeaderRow="0" firstDataRow="1" firstDataCol="1"/>
  <pivotFields count="10">
    <pivotField showAll="0">
      <items count="50">
        <item x="47"/>
        <item x="12"/>
        <item x="36"/>
        <item x="17"/>
        <item x="24"/>
        <item x="25"/>
        <item x="41"/>
        <item x="39"/>
        <item x="48"/>
        <item x="38"/>
        <item x="44"/>
        <item x="26"/>
        <item x="43"/>
        <item x="45"/>
        <item x="23"/>
        <item x="32"/>
        <item x="11"/>
        <item x="10"/>
        <item x="3"/>
        <item x="42"/>
        <item x="22"/>
        <item x="18"/>
        <item x="33"/>
        <item x="37"/>
        <item x="28"/>
        <item x="30"/>
        <item x="29"/>
        <item x="8"/>
        <item x="13"/>
        <item x="7"/>
        <item x="14"/>
        <item x="2"/>
        <item x="0"/>
        <item x="1"/>
        <item x="40"/>
        <item x="34"/>
        <item x="9"/>
        <item x="19"/>
        <item x="27"/>
        <item x="15"/>
        <item x="20"/>
        <item x="6"/>
        <item x="46"/>
        <item x="21"/>
        <item x="31"/>
        <item x="4"/>
        <item x="5"/>
        <item x="35"/>
        <item x="16"/>
        <item t="default"/>
      </items>
    </pivotField>
    <pivotField axis="axisRow"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showAll="0"/>
    <pivotField numFmtId="10" showAll="0"/>
    <pivotField numFmtId="10" showAll="0"/>
    <pivotField showAll="0">
      <items count="8">
        <item sd="0" x="0"/>
        <item sd="0" x="4"/>
        <item sd="0" x="2"/>
        <item sd="0" x="3"/>
        <item sd="0" x="1"/>
        <item sd="0" x="5"/>
        <item sd="0" x="6"/>
        <item t="default"/>
      </items>
    </pivotField>
    <pivotField axis="axisRow" showAll="0" defaultSubtotal="0">
      <items count="4">
        <item x="0"/>
        <item x="1"/>
        <item x="2"/>
        <item x="3"/>
      </items>
    </pivotField>
  </pivotFields>
  <rowFields count="2">
    <field x="9"/>
    <field x="1"/>
  </rowFields>
  <rowItems count="10">
    <i>
      <x v="1"/>
    </i>
    <i r="1">
      <x v="10"/>
    </i>
    <i r="1">
      <x v="11"/>
    </i>
    <i r="1">
      <x v="12"/>
    </i>
    <i>
      <x v="2"/>
    </i>
    <i r="1">
      <x v="1"/>
    </i>
    <i r="1">
      <x v="2"/>
    </i>
    <i r="1">
      <x v="3"/>
    </i>
    <i r="1">
      <x v="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Views" fld="2" baseField="0" baseItem="0"/>
    <dataField name="Total Likes" fld="4" baseField="0" baseItem="0"/>
    <dataField name="Total Comments" fld="3" baseField="0" baseItem="0"/>
  </dataFields>
  <chartFormats count="6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0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outline="1" outlineData="1" multipleFieldFilters="0" chartFormat="3" rowHeaderCaption="Video Title">
  <location ref="A3:D13" firstHeaderRow="0" firstDataRow="1" firstDataCol="1"/>
  <pivotFields count="10">
    <pivotField axis="axisRow" showAll="0" measureFilter="1" sortType="descending">
      <items count="50">
        <item x="47"/>
        <item x="12"/>
        <item x="36"/>
        <item x="17"/>
        <item x="24"/>
        <item x="25"/>
        <item x="41"/>
        <item x="39"/>
        <item x="48"/>
        <item x="38"/>
        <item x="44"/>
        <item x="26"/>
        <item x="43"/>
        <item x="45"/>
        <item x="23"/>
        <item x="32"/>
        <item x="11"/>
        <item x="10"/>
        <item x="3"/>
        <item x="42"/>
        <item x="22"/>
        <item x="18"/>
        <item x="33"/>
        <item x="37"/>
        <item x="28"/>
        <item x="30"/>
        <item x="29"/>
        <item x="8"/>
        <item x="13"/>
        <item x="7"/>
        <item x="14"/>
        <item x="2"/>
        <item x="0"/>
        <item x="1"/>
        <item x="40"/>
        <item x="34"/>
        <item x="9"/>
        <item x="19"/>
        <item x="27"/>
        <item x="15"/>
        <item x="20"/>
        <item x="6"/>
        <item x="46"/>
        <item x="21"/>
        <item x="31"/>
        <item x="4"/>
        <item x="5"/>
        <item x="35"/>
        <item x="1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dataField="1" showAll="0"/>
    <pivotField dataField="1" showAll="0"/>
    <pivotField showAll="0"/>
    <pivotField numFmtId="10" showAll="0"/>
    <pivotField numFmtId="10" showAll="0"/>
    <pivotField showAll="0">
      <items count="8">
        <item x="0"/>
        <item x="4"/>
        <item x="2"/>
        <item x="3"/>
        <item x="1"/>
        <item x="5"/>
        <item x="6"/>
        <item t="default"/>
      </items>
    </pivotField>
    <pivotField showAll="0" defaultSubtotal="0"/>
  </pivotFields>
  <rowFields count="1">
    <field x="0"/>
  </rowFields>
  <rowItems count="10">
    <i>
      <x v="25"/>
    </i>
    <i>
      <x v="14"/>
    </i>
    <i>
      <x v="46"/>
    </i>
    <i>
      <x v="20"/>
    </i>
    <i>
      <x v="38"/>
    </i>
    <i>
      <x v="42"/>
    </i>
    <i>
      <x v="9"/>
    </i>
    <i>
      <x v="1"/>
    </i>
    <i>
      <x v="24"/>
    </i>
    <i>
      <x v="34"/>
    </i>
  </rowItems>
  <colFields count="1">
    <field x="-2"/>
  </colFields>
  <colItems count="3">
    <i>
      <x/>
    </i>
    <i i="1">
      <x v="1"/>
    </i>
    <i i="2">
      <x v="2"/>
    </i>
  </colItems>
  <dataFields count="3">
    <dataField name="Total Views" fld="2" baseField="0" baseItem="0"/>
    <dataField name="Total Likes" fld="4" baseField="0" baseItem="0"/>
    <dataField name="Total Comments" fld="3" baseField="0" baseItem="0"/>
  </dataFields>
  <chartFormats count="9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0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1" name="Table1" displayName="Table1" ref="A1:I55" totalsRowShown="0" headerRowDxfId="10" dataDxfId="9">
  <autoFilter ref="A1:I55"/>
  <tableColumns count="9">
    <tableColumn id="1" name="Video Title" dataDxfId="8"/>
    <tableColumn id="2" name="Upload Date" dataDxfId="7"/>
    <tableColumn id="3" name="Views" dataDxfId="6"/>
    <tableColumn id="4" name="Comments" dataDxfId="5"/>
    <tableColumn id="5" name="Likes" dataDxfId="4"/>
    <tableColumn id="6" name="Like Ratio (%)" dataDxfId="3"/>
    <tableColumn id="7" name="Engagement Rate" dataDxfId="2">
      <calculatedColumnFormula>(D2+E2)/C2</calculatedColumnFormula>
    </tableColumn>
    <tableColumn id="8" name="Like/View Ratio" dataDxfId="1" dataCellStyle="Percent">
      <calculatedColumnFormula>E2/C2</calculatedColumnFormula>
    </tableColumn>
    <tableColumn id="9" name="Month" dataDxfId="0">
      <calculatedColumnFormula>TEXT(B2,"mmm-yyyy")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3"/>
  <sheetViews>
    <sheetView tabSelected="1" workbookViewId="0">
      <selection activeCell="J10" sqref="J10"/>
    </sheetView>
  </sheetViews>
  <sheetFormatPr defaultRowHeight="14.4" x14ac:dyDescent="0.3"/>
  <cols>
    <col min="4" max="6" width="8.88671875" customWidth="1"/>
    <col min="8" max="8" width="7.33203125" customWidth="1"/>
    <col min="9" max="9" width="14" customWidth="1"/>
    <col min="10" max="10" width="13.109375" customWidth="1"/>
    <col min="11" max="11" width="18.88671875" customWidth="1"/>
    <col min="12" max="12" width="8.88671875" customWidth="1"/>
    <col min="14" max="16" width="8.88671875" customWidth="1"/>
  </cols>
  <sheetData>
    <row r="1" spans="1:11" ht="25.8" x14ac:dyDescent="0.5">
      <c r="A1" s="12" t="s">
        <v>71</v>
      </c>
      <c r="B1" s="12"/>
      <c r="C1" s="12"/>
      <c r="D1" s="12"/>
      <c r="E1" s="13"/>
      <c r="F1" s="13"/>
      <c r="G1" s="13"/>
    </row>
    <row r="2" spans="1:11" ht="18" x14ac:dyDescent="0.35">
      <c r="I2" s="11" t="s">
        <v>68</v>
      </c>
      <c r="J2" s="11" t="s">
        <v>69</v>
      </c>
      <c r="K2" s="11" t="s">
        <v>70</v>
      </c>
    </row>
    <row r="3" spans="1:11" ht="18" x14ac:dyDescent="0.35">
      <c r="I3" s="10">
        <v>938130</v>
      </c>
      <c r="J3" s="10">
        <v>37760</v>
      </c>
      <c r="K3" s="9">
        <v>1076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workbookViewId="0">
      <selection activeCell="D7" sqref="D7"/>
    </sheetView>
  </sheetViews>
  <sheetFormatPr defaultRowHeight="14.4" x14ac:dyDescent="0.3"/>
  <cols>
    <col min="1" max="1" width="10.77734375" customWidth="1"/>
    <col min="2" max="2" width="10.5546875" bestFit="1" customWidth="1"/>
    <col min="3" max="3" width="9.77734375" bestFit="1" customWidth="1"/>
    <col min="4" max="4" width="14.88671875" bestFit="1" customWidth="1"/>
    <col min="5" max="5" width="20.77734375" bestFit="1" customWidth="1"/>
    <col min="6" max="6" width="22.5546875" bestFit="1" customWidth="1"/>
    <col min="7" max="7" width="20.77734375" bestFit="1" customWidth="1"/>
  </cols>
  <sheetData>
    <row r="3" spans="1:4" x14ac:dyDescent="0.3">
      <c r="A3" s="5" t="s">
        <v>57</v>
      </c>
      <c r="B3" t="s">
        <v>68</v>
      </c>
      <c r="C3" t="s">
        <v>69</v>
      </c>
      <c r="D3" t="s">
        <v>70</v>
      </c>
    </row>
    <row r="4" spans="1:4" x14ac:dyDescent="0.3">
      <c r="A4" s="6" t="s">
        <v>59</v>
      </c>
      <c r="B4" s="8"/>
      <c r="C4" s="8"/>
      <c r="D4" s="8"/>
    </row>
    <row r="5" spans="1:4" x14ac:dyDescent="0.3">
      <c r="A5" s="7" t="s">
        <v>60</v>
      </c>
      <c r="B5" s="8">
        <v>60467</v>
      </c>
      <c r="C5" s="8">
        <v>2643</v>
      </c>
      <c r="D5" s="8">
        <v>81</v>
      </c>
    </row>
    <row r="6" spans="1:4" x14ac:dyDescent="0.3">
      <c r="A6" s="7" t="s">
        <v>61</v>
      </c>
      <c r="B6" s="8">
        <v>88696</v>
      </c>
      <c r="C6" s="8">
        <v>2877</v>
      </c>
      <c r="D6" s="8">
        <v>97</v>
      </c>
    </row>
    <row r="7" spans="1:4" x14ac:dyDescent="0.3">
      <c r="A7" s="7" t="s">
        <v>62</v>
      </c>
      <c r="B7" s="8">
        <v>108177</v>
      </c>
      <c r="C7" s="8">
        <v>4345</v>
      </c>
      <c r="D7" s="8">
        <v>169</v>
      </c>
    </row>
    <row r="8" spans="1:4" x14ac:dyDescent="0.3">
      <c r="A8" s="6" t="s">
        <v>63</v>
      </c>
      <c r="B8" s="8"/>
      <c r="C8" s="8"/>
      <c r="D8" s="8"/>
    </row>
    <row r="9" spans="1:4" x14ac:dyDescent="0.3">
      <c r="A9" s="7" t="s">
        <v>64</v>
      </c>
      <c r="B9" s="8">
        <v>486648</v>
      </c>
      <c r="C9" s="8">
        <v>20632</v>
      </c>
      <c r="D9" s="8">
        <v>414</v>
      </c>
    </row>
    <row r="10" spans="1:4" x14ac:dyDescent="0.3">
      <c r="A10" s="7" t="s">
        <v>65</v>
      </c>
      <c r="B10" s="8">
        <v>78969</v>
      </c>
      <c r="C10" s="8">
        <v>3450</v>
      </c>
      <c r="D10" s="8">
        <v>165</v>
      </c>
    </row>
    <row r="11" spans="1:4" x14ac:dyDescent="0.3">
      <c r="A11" s="7" t="s">
        <v>66</v>
      </c>
      <c r="B11" s="8">
        <v>97868</v>
      </c>
      <c r="C11" s="8">
        <v>3094</v>
      </c>
      <c r="D11" s="8">
        <v>110</v>
      </c>
    </row>
    <row r="12" spans="1:4" x14ac:dyDescent="0.3">
      <c r="A12" s="7" t="s">
        <v>67</v>
      </c>
      <c r="B12" s="8">
        <v>17305</v>
      </c>
      <c r="C12" s="8">
        <v>719</v>
      </c>
      <c r="D12" s="8">
        <v>40</v>
      </c>
    </row>
    <row r="13" spans="1:4" x14ac:dyDescent="0.3">
      <c r="A13" s="6" t="s">
        <v>58</v>
      </c>
      <c r="B13" s="8">
        <v>938130</v>
      </c>
      <c r="C13" s="8">
        <v>37760</v>
      </c>
      <c r="D13" s="8">
        <v>1076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D13"/>
  <sheetViews>
    <sheetView workbookViewId="0">
      <selection activeCell="A6" sqref="A6"/>
    </sheetView>
  </sheetViews>
  <sheetFormatPr defaultRowHeight="14.4" x14ac:dyDescent="0.3"/>
  <cols>
    <col min="1" max="1" width="31.88671875" customWidth="1"/>
    <col min="2" max="2" width="10.5546875" bestFit="1" customWidth="1"/>
    <col min="3" max="3" width="9.77734375" bestFit="1" customWidth="1"/>
    <col min="4" max="4" width="14.88671875" customWidth="1"/>
    <col min="5" max="5" width="19" bestFit="1" customWidth="1"/>
  </cols>
  <sheetData>
    <row r="3" spans="1:4" x14ac:dyDescent="0.3">
      <c r="A3" s="5" t="s">
        <v>0</v>
      </c>
      <c r="B3" t="s">
        <v>68</v>
      </c>
      <c r="C3" t="s">
        <v>69</v>
      </c>
      <c r="D3" t="s">
        <v>70</v>
      </c>
    </row>
    <row r="4" spans="1:4" x14ac:dyDescent="0.3">
      <c r="A4" s="6" t="s">
        <v>36</v>
      </c>
      <c r="B4" s="8">
        <v>273614</v>
      </c>
      <c r="C4" s="8">
        <v>11687</v>
      </c>
      <c r="D4" s="8">
        <v>111</v>
      </c>
    </row>
    <row r="5" spans="1:4" x14ac:dyDescent="0.3">
      <c r="A5" s="6" t="s">
        <v>29</v>
      </c>
      <c r="B5" s="8">
        <v>65148</v>
      </c>
      <c r="C5" s="8">
        <v>2056</v>
      </c>
      <c r="D5" s="8">
        <v>67</v>
      </c>
    </row>
    <row r="6" spans="1:4" x14ac:dyDescent="0.3">
      <c r="A6" s="6" t="s">
        <v>11</v>
      </c>
      <c r="B6" s="8">
        <v>52251</v>
      </c>
      <c r="C6" s="8">
        <v>1277</v>
      </c>
      <c r="D6" s="8">
        <v>28</v>
      </c>
    </row>
    <row r="7" spans="1:4" x14ac:dyDescent="0.3">
      <c r="A7" s="6" t="s">
        <v>28</v>
      </c>
      <c r="B7" s="8">
        <v>40543</v>
      </c>
      <c r="C7" s="8">
        <v>1686</v>
      </c>
      <c r="D7" s="8">
        <v>44</v>
      </c>
    </row>
    <row r="8" spans="1:4" x14ac:dyDescent="0.3">
      <c r="A8" s="6" t="s">
        <v>33</v>
      </c>
      <c r="B8" s="8">
        <v>31592</v>
      </c>
      <c r="C8" s="8">
        <v>1406</v>
      </c>
      <c r="D8" s="8">
        <v>18</v>
      </c>
    </row>
    <row r="9" spans="1:4" x14ac:dyDescent="0.3">
      <c r="A9" s="6" t="s">
        <v>52</v>
      </c>
      <c r="B9" s="8">
        <v>29259</v>
      </c>
      <c r="C9" s="8">
        <v>1134</v>
      </c>
      <c r="D9" s="8">
        <v>45</v>
      </c>
    </row>
    <row r="10" spans="1:4" x14ac:dyDescent="0.3">
      <c r="A10" s="6" t="s">
        <v>44</v>
      </c>
      <c r="B10" s="8">
        <v>27517</v>
      </c>
      <c r="C10" s="8">
        <v>800</v>
      </c>
      <c r="D10" s="8">
        <v>32</v>
      </c>
    </row>
    <row r="11" spans="1:4" x14ac:dyDescent="0.3">
      <c r="A11" s="6" t="s">
        <v>18</v>
      </c>
      <c r="B11" s="8">
        <v>25170</v>
      </c>
      <c r="C11" s="8">
        <v>1042</v>
      </c>
      <c r="D11" s="8">
        <v>33</v>
      </c>
    </row>
    <row r="12" spans="1:4" x14ac:dyDescent="0.3">
      <c r="A12" s="6" t="s">
        <v>34</v>
      </c>
      <c r="B12" s="8">
        <v>24265</v>
      </c>
      <c r="C12" s="8">
        <v>806</v>
      </c>
      <c r="D12" s="8">
        <v>14</v>
      </c>
    </row>
    <row r="13" spans="1:4" x14ac:dyDescent="0.3">
      <c r="A13" s="6" t="s">
        <v>46</v>
      </c>
      <c r="B13" s="8">
        <v>18813</v>
      </c>
      <c r="C13" s="8">
        <v>1026</v>
      </c>
      <c r="D13" s="8">
        <v>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5"/>
  <sheetViews>
    <sheetView topLeftCell="A2" workbookViewId="0">
      <selection activeCell="C8" sqref="C8"/>
    </sheetView>
  </sheetViews>
  <sheetFormatPr defaultRowHeight="14.4" x14ac:dyDescent="0.3"/>
  <cols>
    <col min="1" max="1" width="35.77734375" customWidth="1"/>
    <col min="2" max="2" width="16" customWidth="1"/>
    <col min="3" max="3" width="10.5546875" customWidth="1"/>
    <col min="4" max="4" width="14.6640625" customWidth="1"/>
    <col min="5" max="5" width="10.21875" customWidth="1"/>
    <col min="6" max="6" width="16.44140625" customWidth="1"/>
    <col min="7" max="7" width="20.109375" customWidth="1"/>
    <col min="8" max="8" width="18.6640625" customWidth="1"/>
    <col min="9" max="9" width="12" customWidth="1"/>
  </cols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55</v>
      </c>
      <c r="H1" s="2" t="s">
        <v>56</v>
      </c>
      <c r="I1" s="2" t="s">
        <v>57</v>
      </c>
    </row>
    <row r="2" spans="1:9" x14ac:dyDescent="0.3">
      <c r="A2" s="2" t="s">
        <v>6</v>
      </c>
      <c r="B2" s="3">
        <v>46127</v>
      </c>
      <c r="C2" s="2">
        <v>3778</v>
      </c>
      <c r="D2" s="2">
        <v>2</v>
      </c>
      <c r="E2" s="2">
        <v>128</v>
      </c>
      <c r="F2" s="2">
        <v>97.7</v>
      </c>
      <c r="G2" s="4">
        <f t="shared" ref="G2:G33" si="0">(D2+E2)/C2</f>
        <v>3.4409740603493909E-2</v>
      </c>
      <c r="H2" s="4">
        <f t="shared" ref="H2:H33" si="1">E2/C2</f>
        <v>3.3880359978824777E-2</v>
      </c>
      <c r="I2" s="2" t="str">
        <f t="shared" ref="I2:I33" si="2">TEXT(B2,"mmm-yyyy")</f>
        <v>Apr-2026</v>
      </c>
    </row>
    <row r="3" spans="1:9" x14ac:dyDescent="0.3">
      <c r="A3" s="2" t="s">
        <v>7</v>
      </c>
      <c r="B3" s="3">
        <v>46117</v>
      </c>
      <c r="C3" s="2">
        <v>3062</v>
      </c>
      <c r="D3" s="2">
        <v>10</v>
      </c>
      <c r="E3" s="2">
        <v>167</v>
      </c>
      <c r="F3" s="2">
        <v>99.4</v>
      </c>
      <c r="G3" s="4">
        <f t="shared" si="0"/>
        <v>5.7805355976485957E-2</v>
      </c>
      <c r="H3" s="4">
        <f t="shared" si="1"/>
        <v>5.4539516655780537E-2</v>
      </c>
      <c r="I3" s="2" t="str">
        <f t="shared" si="2"/>
        <v>Apr-2026</v>
      </c>
    </row>
    <row r="4" spans="1:9" x14ac:dyDescent="0.3">
      <c r="A4" s="2" t="s">
        <v>8</v>
      </c>
      <c r="B4" s="3">
        <v>46115</v>
      </c>
      <c r="C4" s="2">
        <v>5227</v>
      </c>
      <c r="D4" s="2">
        <v>11</v>
      </c>
      <c r="E4" s="2">
        <v>131</v>
      </c>
      <c r="F4" s="2">
        <v>99.2</v>
      </c>
      <c r="G4" s="4">
        <f t="shared" si="0"/>
        <v>2.7166634780945092E-2</v>
      </c>
      <c r="H4" s="4">
        <f t="shared" si="1"/>
        <v>2.5062177157069064E-2</v>
      </c>
      <c r="I4" s="2" t="str">
        <f t="shared" si="2"/>
        <v>Apr-2026</v>
      </c>
    </row>
    <row r="5" spans="1:9" x14ac:dyDescent="0.3">
      <c r="A5" s="2" t="s">
        <v>9</v>
      </c>
      <c r="B5" s="3">
        <v>46113</v>
      </c>
      <c r="C5" s="2">
        <v>5238</v>
      </c>
      <c r="D5" s="2">
        <v>17</v>
      </c>
      <c r="E5" s="2">
        <v>293</v>
      </c>
      <c r="F5" s="2">
        <v>99.7</v>
      </c>
      <c r="G5" s="4">
        <f t="shared" si="0"/>
        <v>5.9182894234440626E-2</v>
      </c>
      <c r="H5" s="4">
        <f t="shared" si="1"/>
        <v>5.5937380679648721E-2</v>
      </c>
      <c r="I5" s="2" t="str">
        <f t="shared" si="2"/>
        <v>Apr-2026</v>
      </c>
    </row>
    <row r="6" spans="1:9" x14ac:dyDescent="0.3">
      <c r="A6" s="2" t="s">
        <v>10</v>
      </c>
      <c r="B6" s="3">
        <v>46110</v>
      </c>
      <c r="C6" s="2">
        <v>7224</v>
      </c>
      <c r="D6" s="2">
        <v>10</v>
      </c>
      <c r="E6" s="2">
        <v>340</v>
      </c>
      <c r="F6" s="2">
        <v>99.4</v>
      </c>
      <c r="G6" s="4">
        <f t="shared" si="0"/>
        <v>4.8449612403100778E-2</v>
      </c>
      <c r="H6" s="4">
        <f t="shared" si="1"/>
        <v>4.706533776301218E-2</v>
      </c>
      <c r="I6" s="2" t="str">
        <f t="shared" si="2"/>
        <v>Mar-2026</v>
      </c>
    </row>
    <row r="7" spans="1:9" x14ac:dyDescent="0.3">
      <c r="A7" s="2" t="s">
        <v>11</v>
      </c>
      <c r="B7" s="3">
        <v>46109</v>
      </c>
      <c r="C7" s="2">
        <v>24298</v>
      </c>
      <c r="D7" s="2">
        <v>11</v>
      </c>
      <c r="E7" s="2">
        <v>559</v>
      </c>
      <c r="F7" s="2">
        <v>99.1</v>
      </c>
      <c r="G7" s="4">
        <f t="shared" si="0"/>
        <v>2.3458720882377149E-2</v>
      </c>
      <c r="H7" s="4">
        <f t="shared" si="1"/>
        <v>2.3006008724997942E-2</v>
      </c>
      <c r="I7" s="2" t="str">
        <f t="shared" si="2"/>
        <v>Mar-2026</v>
      </c>
    </row>
    <row r="8" spans="1:9" x14ac:dyDescent="0.3">
      <c r="A8" s="2" t="s">
        <v>11</v>
      </c>
      <c r="B8" s="3">
        <v>46108</v>
      </c>
      <c r="C8" s="2">
        <v>27953</v>
      </c>
      <c r="D8" s="2">
        <v>17</v>
      </c>
      <c r="E8" s="2">
        <v>718</v>
      </c>
      <c r="F8" s="2">
        <v>99.4</v>
      </c>
      <c r="G8" s="4">
        <f t="shared" si="0"/>
        <v>2.6294136586412907E-2</v>
      </c>
      <c r="H8" s="4">
        <f t="shared" si="1"/>
        <v>2.5685972883053697E-2</v>
      </c>
      <c r="I8" s="2" t="str">
        <f t="shared" si="2"/>
        <v>Mar-2026</v>
      </c>
    </row>
    <row r="9" spans="1:9" x14ac:dyDescent="0.3">
      <c r="A9" s="2" t="s">
        <v>12</v>
      </c>
      <c r="B9" s="3">
        <v>46105</v>
      </c>
      <c r="C9" s="2">
        <v>4721</v>
      </c>
      <c r="D9" s="2">
        <v>13</v>
      </c>
      <c r="E9" s="2">
        <v>165</v>
      </c>
      <c r="F9" s="2">
        <v>99.4</v>
      </c>
      <c r="G9" s="4">
        <f t="shared" si="0"/>
        <v>3.770387629739462E-2</v>
      </c>
      <c r="H9" s="4">
        <f t="shared" si="1"/>
        <v>3.495022241050625E-2</v>
      </c>
      <c r="I9" s="2" t="str">
        <f t="shared" si="2"/>
        <v>Mar-2026</v>
      </c>
    </row>
    <row r="10" spans="1:9" x14ac:dyDescent="0.3">
      <c r="A10" s="2" t="s">
        <v>13</v>
      </c>
      <c r="B10" s="3">
        <v>46099</v>
      </c>
      <c r="C10" s="2">
        <v>10492</v>
      </c>
      <c r="D10" s="2">
        <v>18</v>
      </c>
      <c r="E10" s="2">
        <v>479</v>
      </c>
      <c r="F10" s="2">
        <v>99</v>
      </c>
      <c r="G10" s="4">
        <f t="shared" si="0"/>
        <v>4.736942432329394E-2</v>
      </c>
      <c r="H10" s="4">
        <f t="shared" si="1"/>
        <v>4.5653831490659554E-2</v>
      </c>
      <c r="I10" s="2" t="str">
        <f t="shared" si="2"/>
        <v>Mar-2026</v>
      </c>
    </row>
    <row r="11" spans="1:9" x14ac:dyDescent="0.3">
      <c r="A11" s="2" t="s">
        <v>14</v>
      </c>
      <c r="B11" s="3">
        <v>46096</v>
      </c>
      <c r="C11" s="2">
        <v>3454</v>
      </c>
      <c r="D11" s="2">
        <v>11</v>
      </c>
      <c r="E11" s="2">
        <v>135</v>
      </c>
      <c r="F11" s="2">
        <v>100</v>
      </c>
      <c r="G11" s="4">
        <f t="shared" si="0"/>
        <v>4.2269832078749278E-2</v>
      </c>
      <c r="H11" s="4">
        <f t="shared" si="1"/>
        <v>3.9085118702953101E-2</v>
      </c>
      <c r="I11" s="2" t="str">
        <f t="shared" si="2"/>
        <v>Mar-2026</v>
      </c>
    </row>
    <row r="12" spans="1:9" x14ac:dyDescent="0.3">
      <c r="A12" s="2" t="s">
        <v>15</v>
      </c>
      <c r="B12" s="3">
        <v>46094</v>
      </c>
      <c r="C12" s="2">
        <v>2632</v>
      </c>
      <c r="D12" s="2">
        <v>8</v>
      </c>
      <c r="E12" s="2">
        <v>75</v>
      </c>
      <c r="F12" s="2">
        <v>97.4</v>
      </c>
      <c r="G12" s="4">
        <f t="shared" si="0"/>
        <v>3.1534954407294834E-2</v>
      </c>
      <c r="H12" s="4">
        <f t="shared" si="1"/>
        <v>2.8495440729483283E-2</v>
      </c>
      <c r="I12" s="2" t="str">
        <f t="shared" si="2"/>
        <v>Mar-2026</v>
      </c>
    </row>
    <row r="13" spans="1:9" x14ac:dyDescent="0.3">
      <c r="A13" s="2" t="s">
        <v>16</v>
      </c>
      <c r="B13" s="3">
        <v>46089</v>
      </c>
      <c r="C13" s="2">
        <v>2941</v>
      </c>
      <c r="D13" s="2">
        <v>5</v>
      </c>
      <c r="E13" s="2">
        <v>141</v>
      </c>
      <c r="F13" s="2">
        <v>99.3</v>
      </c>
      <c r="G13" s="4">
        <f t="shared" si="0"/>
        <v>4.9642978578714726E-2</v>
      </c>
      <c r="H13" s="4">
        <f t="shared" si="1"/>
        <v>4.7942876572594356E-2</v>
      </c>
      <c r="I13" s="2" t="str">
        <f t="shared" si="2"/>
        <v>Mar-2026</v>
      </c>
    </row>
    <row r="14" spans="1:9" x14ac:dyDescent="0.3">
      <c r="A14" s="2" t="s">
        <v>17</v>
      </c>
      <c r="B14" s="3">
        <v>46087</v>
      </c>
      <c r="C14" s="2">
        <v>4741</v>
      </c>
      <c r="D14" s="2">
        <v>9</v>
      </c>
      <c r="E14" s="2">
        <v>133</v>
      </c>
      <c r="F14" s="2">
        <v>99.3</v>
      </c>
      <c r="G14" s="4">
        <f t="shared" si="0"/>
        <v>2.9951487028053152E-2</v>
      </c>
      <c r="H14" s="4">
        <f t="shared" si="1"/>
        <v>2.8053153343176544E-2</v>
      </c>
      <c r="I14" s="2" t="str">
        <f t="shared" si="2"/>
        <v>Mar-2026</v>
      </c>
    </row>
    <row r="15" spans="1:9" x14ac:dyDescent="0.3">
      <c r="A15" s="2" t="s">
        <v>18</v>
      </c>
      <c r="B15" s="3">
        <v>46083</v>
      </c>
      <c r="C15" s="2">
        <v>9412</v>
      </c>
      <c r="D15" s="2">
        <v>8</v>
      </c>
      <c r="E15" s="2">
        <v>349</v>
      </c>
      <c r="F15" s="2">
        <v>98.6</v>
      </c>
      <c r="G15" s="4">
        <f t="shared" si="0"/>
        <v>3.7930301742456436E-2</v>
      </c>
      <c r="H15" s="4">
        <f t="shared" si="1"/>
        <v>3.7080322991925201E-2</v>
      </c>
      <c r="I15" s="2" t="str">
        <f t="shared" si="2"/>
        <v>Mar-2026</v>
      </c>
    </row>
    <row r="16" spans="1:9" x14ac:dyDescent="0.3">
      <c r="A16" s="2" t="s">
        <v>19</v>
      </c>
      <c r="B16" s="3">
        <v>46080</v>
      </c>
      <c r="C16" s="2">
        <v>4399</v>
      </c>
      <c r="D16" s="2">
        <v>6</v>
      </c>
      <c r="E16" s="2">
        <v>154</v>
      </c>
      <c r="F16" s="2">
        <v>97.5</v>
      </c>
      <c r="G16" s="4">
        <f t="shared" si="0"/>
        <v>3.6371902705160261E-2</v>
      </c>
      <c r="H16" s="4">
        <f t="shared" si="1"/>
        <v>3.5007956353716757E-2</v>
      </c>
      <c r="I16" s="2" t="str">
        <f t="shared" si="2"/>
        <v>Feb-2026</v>
      </c>
    </row>
    <row r="17" spans="1:9" x14ac:dyDescent="0.3">
      <c r="A17" s="2" t="s">
        <v>20</v>
      </c>
      <c r="B17" s="3">
        <v>46078</v>
      </c>
      <c r="C17" s="2">
        <v>8455</v>
      </c>
      <c r="D17" s="2">
        <v>26</v>
      </c>
      <c r="E17" s="2">
        <v>402</v>
      </c>
      <c r="F17" s="2">
        <v>99.5</v>
      </c>
      <c r="G17" s="4">
        <f t="shared" si="0"/>
        <v>5.0620934358367828E-2</v>
      </c>
      <c r="H17" s="4">
        <f t="shared" si="1"/>
        <v>4.7545830869308102E-2</v>
      </c>
      <c r="I17" s="2" t="str">
        <f t="shared" si="2"/>
        <v>Feb-2026</v>
      </c>
    </row>
    <row r="18" spans="1:9" x14ac:dyDescent="0.3">
      <c r="A18" s="2" t="s">
        <v>21</v>
      </c>
      <c r="B18" s="3">
        <v>46074</v>
      </c>
      <c r="C18" s="2">
        <v>12115</v>
      </c>
      <c r="D18" s="2">
        <v>26</v>
      </c>
      <c r="E18" s="2">
        <v>487</v>
      </c>
      <c r="F18" s="2">
        <v>99.4</v>
      </c>
      <c r="G18" s="4">
        <f t="shared" si="0"/>
        <v>4.234420140321915E-2</v>
      </c>
      <c r="H18" s="4">
        <f t="shared" si="1"/>
        <v>4.0198101527032605E-2</v>
      </c>
      <c r="I18" s="2" t="str">
        <f t="shared" si="2"/>
        <v>Feb-2026</v>
      </c>
    </row>
    <row r="19" spans="1:9" x14ac:dyDescent="0.3">
      <c r="A19" s="2" t="s">
        <v>22</v>
      </c>
      <c r="B19" s="3">
        <v>46069</v>
      </c>
      <c r="C19" s="2">
        <v>3852</v>
      </c>
      <c r="D19" s="2">
        <v>19</v>
      </c>
      <c r="E19" s="2">
        <v>144</v>
      </c>
      <c r="F19" s="2">
        <v>98</v>
      </c>
      <c r="G19" s="4">
        <f t="shared" si="0"/>
        <v>4.2315680166147458E-2</v>
      </c>
      <c r="H19" s="4">
        <f t="shared" si="1"/>
        <v>3.7383177570093455E-2</v>
      </c>
      <c r="I19" s="2" t="str">
        <f t="shared" si="2"/>
        <v>Feb-2026</v>
      </c>
    </row>
    <row r="20" spans="1:9" x14ac:dyDescent="0.3">
      <c r="A20" s="2" t="s">
        <v>23</v>
      </c>
      <c r="B20" s="3">
        <v>46067</v>
      </c>
      <c r="C20" s="2">
        <v>4825</v>
      </c>
      <c r="D20" s="2">
        <v>13</v>
      </c>
      <c r="E20" s="2">
        <v>229</v>
      </c>
      <c r="F20" s="2">
        <v>99.6</v>
      </c>
      <c r="G20" s="4">
        <f t="shared" si="0"/>
        <v>5.0155440414507771E-2</v>
      </c>
      <c r="H20" s="4">
        <f t="shared" si="1"/>
        <v>4.7461139896373059E-2</v>
      </c>
      <c r="I20" s="2" t="str">
        <f t="shared" si="2"/>
        <v>Feb-2026</v>
      </c>
    </row>
    <row r="21" spans="1:9" x14ac:dyDescent="0.3">
      <c r="A21" s="2" t="s">
        <v>24</v>
      </c>
      <c r="B21" s="3">
        <v>46066</v>
      </c>
      <c r="C21" s="2">
        <v>17626</v>
      </c>
      <c r="D21" s="2">
        <v>17</v>
      </c>
      <c r="E21" s="2">
        <v>879</v>
      </c>
      <c r="F21" s="2">
        <v>99.6</v>
      </c>
      <c r="G21" s="4">
        <f t="shared" si="0"/>
        <v>5.0833995234312944E-2</v>
      </c>
      <c r="H21" s="4">
        <f t="shared" si="1"/>
        <v>4.9869510949733346E-2</v>
      </c>
      <c r="I21" s="2" t="str">
        <f t="shared" si="2"/>
        <v>Feb-2026</v>
      </c>
    </row>
    <row r="22" spans="1:9" x14ac:dyDescent="0.3">
      <c r="A22" s="2" t="s">
        <v>25</v>
      </c>
      <c r="B22" s="3">
        <v>46065</v>
      </c>
      <c r="C22" s="2">
        <v>6554</v>
      </c>
      <c r="D22" s="2">
        <v>6</v>
      </c>
      <c r="E22" s="2">
        <v>276</v>
      </c>
      <c r="F22" s="2">
        <v>99.3</v>
      </c>
      <c r="G22" s="4">
        <f t="shared" si="0"/>
        <v>4.3027158986878242E-2</v>
      </c>
      <c r="H22" s="4">
        <f t="shared" si="1"/>
        <v>4.2111687519072322E-2</v>
      </c>
      <c r="I22" s="2" t="str">
        <f t="shared" si="2"/>
        <v>Feb-2026</v>
      </c>
    </row>
    <row r="23" spans="1:9" x14ac:dyDescent="0.3">
      <c r="A23" s="2" t="s">
        <v>26</v>
      </c>
      <c r="B23" s="3">
        <v>46062</v>
      </c>
      <c r="C23" s="2">
        <v>6257</v>
      </c>
      <c r="D23" s="2">
        <v>22</v>
      </c>
      <c r="E23" s="2">
        <v>331</v>
      </c>
      <c r="F23" s="2">
        <v>99.1</v>
      </c>
      <c r="G23" s="4">
        <f t="shared" si="0"/>
        <v>5.6416813169250436E-2</v>
      </c>
      <c r="H23" s="4">
        <f t="shared" si="1"/>
        <v>5.2900751158702256E-2</v>
      </c>
      <c r="I23" s="2" t="str">
        <f t="shared" si="2"/>
        <v>Feb-2026</v>
      </c>
    </row>
    <row r="24" spans="1:9" x14ac:dyDescent="0.3">
      <c r="A24" s="2" t="s">
        <v>14</v>
      </c>
      <c r="B24" s="3">
        <v>46060</v>
      </c>
      <c r="C24" s="2">
        <v>14886</v>
      </c>
      <c r="D24" s="2">
        <v>30</v>
      </c>
      <c r="E24" s="2">
        <v>548</v>
      </c>
      <c r="F24" s="2">
        <v>99.1</v>
      </c>
      <c r="G24" s="4">
        <f t="shared" si="0"/>
        <v>3.8828429396748625E-2</v>
      </c>
      <c r="H24" s="4">
        <f t="shared" si="1"/>
        <v>3.6813112992073085E-2</v>
      </c>
      <c r="I24" s="2" t="str">
        <f t="shared" si="2"/>
        <v>Feb-2026</v>
      </c>
    </row>
    <row r="25" spans="1:9" x14ac:dyDescent="0.3">
      <c r="A25" s="2" t="s">
        <v>27</v>
      </c>
      <c r="B25" s="3">
        <v>46053</v>
      </c>
      <c r="C25" s="2">
        <v>15480</v>
      </c>
      <c r="D25" s="2">
        <v>37</v>
      </c>
      <c r="E25" s="2">
        <v>806</v>
      </c>
      <c r="F25" s="2">
        <v>99.5</v>
      </c>
      <c r="G25" s="4">
        <f t="shared" si="0"/>
        <v>5.4457364341085272E-2</v>
      </c>
      <c r="H25" s="4">
        <f t="shared" si="1"/>
        <v>5.20671834625323E-2</v>
      </c>
      <c r="I25" s="2" t="str">
        <f t="shared" si="2"/>
        <v>Jan-2026</v>
      </c>
    </row>
    <row r="26" spans="1:9" x14ac:dyDescent="0.3">
      <c r="A26" s="2" t="s">
        <v>28</v>
      </c>
      <c r="B26" s="3">
        <v>46052</v>
      </c>
      <c r="C26" s="2">
        <v>40543</v>
      </c>
      <c r="D26" s="2">
        <v>44</v>
      </c>
      <c r="E26" s="2">
        <v>1686</v>
      </c>
      <c r="F26" s="2">
        <v>99.3</v>
      </c>
      <c r="G26" s="4">
        <f t="shared" si="0"/>
        <v>4.2670744641491752E-2</v>
      </c>
      <c r="H26" s="4">
        <f t="shared" si="1"/>
        <v>4.1585477147719707E-2</v>
      </c>
      <c r="I26" s="2" t="str">
        <f t="shared" si="2"/>
        <v>Jan-2026</v>
      </c>
    </row>
    <row r="27" spans="1:9" x14ac:dyDescent="0.3">
      <c r="A27" s="2" t="s">
        <v>29</v>
      </c>
      <c r="B27" s="3">
        <v>46051</v>
      </c>
      <c r="C27" s="2">
        <v>5700</v>
      </c>
      <c r="D27" s="2">
        <v>15</v>
      </c>
      <c r="E27" s="2">
        <v>229</v>
      </c>
      <c r="F27" s="2">
        <v>100</v>
      </c>
      <c r="G27" s="4">
        <f t="shared" si="0"/>
        <v>4.2807017543859648E-2</v>
      </c>
      <c r="H27" s="4">
        <f t="shared" si="1"/>
        <v>4.0175438596491225E-2</v>
      </c>
      <c r="I27" s="2" t="str">
        <f t="shared" si="2"/>
        <v>Jan-2026</v>
      </c>
    </row>
    <row r="28" spans="1:9" x14ac:dyDescent="0.3">
      <c r="A28" s="2" t="s">
        <v>30</v>
      </c>
      <c r="B28" s="3">
        <v>46049</v>
      </c>
      <c r="C28" s="2">
        <v>4346</v>
      </c>
      <c r="D28" s="2">
        <v>9</v>
      </c>
      <c r="E28" s="2">
        <v>129</v>
      </c>
      <c r="F28" s="2">
        <v>100</v>
      </c>
      <c r="G28" s="4">
        <f t="shared" si="0"/>
        <v>3.1753336401288544E-2</v>
      </c>
      <c r="H28" s="4">
        <f t="shared" si="1"/>
        <v>2.9682466635987115E-2</v>
      </c>
      <c r="I28" s="2" t="str">
        <f t="shared" si="2"/>
        <v>Jan-2026</v>
      </c>
    </row>
    <row r="29" spans="1:9" x14ac:dyDescent="0.3">
      <c r="A29" s="2" t="s">
        <v>31</v>
      </c>
      <c r="B29" s="3">
        <v>46048</v>
      </c>
      <c r="C29" s="2">
        <v>7314</v>
      </c>
      <c r="D29" s="2">
        <v>19</v>
      </c>
      <c r="E29" s="2">
        <v>216</v>
      </c>
      <c r="F29" s="2">
        <v>99.5</v>
      </c>
      <c r="G29" s="4">
        <f t="shared" si="0"/>
        <v>3.2130161334427129E-2</v>
      </c>
      <c r="H29" s="4">
        <f t="shared" si="1"/>
        <v>2.9532403609515995E-2</v>
      </c>
      <c r="I29" s="2" t="str">
        <f t="shared" si="2"/>
        <v>Jan-2026</v>
      </c>
    </row>
    <row r="30" spans="1:9" x14ac:dyDescent="0.3">
      <c r="A30" s="2" t="s">
        <v>32</v>
      </c>
      <c r="B30" s="3">
        <v>46048</v>
      </c>
      <c r="C30" s="2">
        <v>14982</v>
      </c>
      <c r="D30" s="2">
        <v>15</v>
      </c>
      <c r="E30" s="2">
        <v>617</v>
      </c>
      <c r="F30" s="2">
        <v>100</v>
      </c>
      <c r="G30" s="4">
        <f t="shared" si="0"/>
        <v>4.2183954078227205E-2</v>
      </c>
      <c r="H30" s="4">
        <f t="shared" si="1"/>
        <v>4.1182752636497129E-2</v>
      </c>
      <c r="I30" s="2" t="str">
        <f t="shared" si="2"/>
        <v>Jan-2026</v>
      </c>
    </row>
    <row r="31" spans="1:9" x14ac:dyDescent="0.3">
      <c r="A31" s="2" t="s">
        <v>33</v>
      </c>
      <c r="B31" s="3">
        <v>46046</v>
      </c>
      <c r="C31" s="2">
        <v>31592</v>
      </c>
      <c r="D31" s="2">
        <v>18</v>
      </c>
      <c r="E31" s="2">
        <v>1406</v>
      </c>
      <c r="F31" s="2">
        <v>99.4</v>
      </c>
      <c r="G31" s="4">
        <f t="shared" si="0"/>
        <v>4.5074702456318054E-2</v>
      </c>
      <c r="H31" s="4">
        <f t="shared" si="1"/>
        <v>4.4504937958976955E-2</v>
      </c>
      <c r="I31" s="2" t="str">
        <f t="shared" si="2"/>
        <v>Jan-2026</v>
      </c>
    </row>
    <row r="32" spans="1:9" x14ac:dyDescent="0.3">
      <c r="A32" s="2" t="s">
        <v>34</v>
      </c>
      <c r="B32" s="3">
        <v>46045</v>
      </c>
      <c r="C32" s="2">
        <v>24265</v>
      </c>
      <c r="D32" s="2">
        <v>14</v>
      </c>
      <c r="E32" s="2">
        <v>806</v>
      </c>
      <c r="F32" s="2">
        <v>99.5</v>
      </c>
      <c r="G32" s="4">
        <f t="shared" si="0"/>
        <v>3.3793529775396659E-2</v>
      </c>
      <c r="H32" s="4">
        <f t="shared" si="1"/>
        <v>3.3216567071914282E-2</v>
      </c>
      <c r="I32" s="2" t="str">
        <f t="shared" si="2"/>
        <v>Jan-2026</v>
      </c>
    </row>
    <row r="33" spans="1:9" x14ac:dyDescent="0.3">
      <c r="A33" s="2" t="s">
        <v>35</v>
      </c>
      <c r="B33" s="3">
        <v>46045</v>
      </c>
      <c r="C33" s="2">
        <v>8683</v>
      </c>
      <c r="D33" s="2">
        <v>9</v>
      </c>
      <c r="E33" s="2">
        <v>332</v>
      </c>
      <c r="F33" s="2">
        <v>100</v>
      </c>
      <c r="G33" s="4">
        <f t="shared" si="0"/>
        <v>3.927214096510423E-2</v>
      </c>
      <c r="H33" s="4">
        <f t="shared" si="1"/>
        <v>3.8235632845790624E-2</v>
      </c>
      <c r="I33" s="2" t="str">
        <f t="shared" si="2"/>
        <v>Jan-2026</v>
      </c>
    </row>
    <row r="34" spans="1:9" x14ac:dyDescent="0.3">
      <c r="A34" s="2" t="s">
        <v>36</v>
      </c>
      <c r="B34" s="3">
        <v>46045</v>
      </c>
      <c r="C34" s="2">
        <v>273614</v>
      </c>
      <c r="D34" s="2">
        <v>111</v>
      </c>
      <c r="E34" s="2">
        <v>11687</v>
      </c>
      <c r="F34" s="2">
        <v>99.6</v>
      </c>
      <c r="G34" s="4">
        <f t="shared" ref="G34:G55" si="3">(D34+E34)/C34</f>
        <v>4.3119138640566636E-2</v>
      </c>
      <c r="H34" s="4">
        <f t="shared" ref="H34:H55" si="4">E34/C34</f>
        <v>4.2713457644711163E-2</v>
      </c>
      <c r="I34" s="2" t="str">
        <f t="shared" ref="I34:I55" si="5">TEXT(B34,"mmm-yyyy")</f>
        <v>Jan-2026</v>
      </c>
    </row>
    <row r="35" spans="1:9" x14ac:dyDescent="0.3">
      <c r="A35" s="2" t="s">
        <v>37</v>
      </c>
      <c r="B35" s="3">
        <v>46044</v>
      </c>
      <c r="C35" s="2">
        <v>11170</v>
      </c>
      <c r="D35" s="2">
        <v>9</v>
      </c>
      <c r="E35" s="2">
        <v>415</v>
      </c>
      <c r="F35" s="2">
        <v>98.8</v>
      </c>
      <c r="G35" s="4">
        <f t="shared" si="3"/>
        <v>3.7958818263205012E-2</v>
      </c>
      <c r="H35" s="4">
        <f t="shared" si="4"/>
        <v>3.7153088630259623E-2</v>
      </c>
      <c r="I35" s="2" t="str">
        <f t="shared" si="5"/>
        <v>Jan-2026</v>
      </c>
    </row>
    <row r="36" spans="1:9" x14ac:dyDescent="0.3">
      <c r="A36" s="2" t="s">
        <v>38</v>
      </c>
      <c r="B36" s="3">
        <v>46042</v>
      </c>
      <c r="C36" s="2">
        <v>6749</v>
      </c>
      <c r="D36" s="2">
        <v>13</v>
      </c>
      <c r="E36" s="2">
        <v>556</v>
      </c>
      <c r="F36" s="2">
        <v>99.3</v>
      </c>
      <c r="G36" s="4">
        <f t="shared" si="3"/>
        <v>8.4308786486886944E-2</v>
      </c>
      <c r="H36" s="4">
        <f t="shared" si="4"/>
        <v>8.2382575196325386E-2</v>
      </c>
      <c r="I36" s="2" t="str">
        <f t="shared" si="5"/>
        <v>Jan-2026</v>
      </c>
    </row>
    <row r="37" spans="1:9" x14ac:dyDescent="0.3">
      <c r="A37" s="2" t="s">
        <v>39</v>
      </c>
      <c r="B37" s="3">
        <v>46041</v>
      </c>
      <c r="C37" s="2">
        <v>4173</v>
      </c>
      <c r="D37" s="2">
        <v>18</v>
      </c>
      <c r="E37" s="2">
        <v>175</v>
      </c>
      <c r="F37" s="2">
        <v>100</v>
      </c>
      <c r="G37" s="4">
        <f t="shared" si="3"/>
        <v>4.6249700455307935E-2</v>
      </c>
      <c r="H37" s="4">
        <f t="shared" si="4"/>
        <v>4.1936256889527915E-2</v>
      </c>
      <c r="I37" s="2" t="str">
        <f t="shared" si="5"/>
        <v>Jan-2026</v>
      </c>
    </row>
    <row r="38" spans="1:9" x14ac:dyDescent="0.3">
      <c r="A38" s="2" t="s">
        <v>40</v>
      </c>
      <c r="B38" s="3">
        <v>46040</v>
      </c>
      <c r="C38" s="2">
        <v>4841</v>
      </c>
      <c r="D38" s="2">
        <v>20</v>
      </c>
      <c r="E38" s="2">
        <v>148</v>
      </c>
      <c r="F38" s="2">
        <v>98</v>
      </c>
      <c r="G38" s="4">
        <f t="shared" si="3"/>
        <v>3.4703573641809544E-2</v>
      </c>
      <c r="H38" s="4">
        <f t="shared" si="4"/>
        <v>3.0572195827308406E-2</v>
      </c>
      <c r="I38" s="2" t="str">
        <f t="shared" si="5"/>
        <v>Jan-2026</v>
      </c>
    </row>
    <row r="39" spans="1:9" x14ac:dyDescent="0.3">
      <c r="A39" s="2" t="s">
        <v>41</v>
      </c>
      <c r="B39" s="3">
        <v>46038</v>
      </c>
      <c r="C39" s="2">
        <v>12147</v>
      </c>
      <c r="D39" s="2">
        <v>18</v>
      </c>
      <c r="E39" s="2">
        <v>535</v>
      </c>
      <c r="F39" s="2">
        <v>99.6</v>
      </c>
      <c r="G39" s="4">
        <f t="shared" si="3"/>
        <v>4.552564419198156E-2</v>
      </c>
      <c r="H39" s="4">
        <f t="shared" si="4"/>
        <v>4.4043796822260638E-2</v>
      </c>
      <c r="I39" s="2" t="str">
        <f t="shared" si="5"/>
        <v>Jan-2026</v>
      </c>
    </row>
    <row r="40" spans="1:9" x14ac:dyDescent="0.3">
      <c r="A40" s="2" t="s">
        <v>23</v>
      </c>
      <c r="B40" s="3">
        <v>46036</v>
      </c>
      <c r="C40" s="2">
        <v>5291</v>
      </c>
      <c r="D40" s="2">
        <v>20</v>
      </c>
      <c r="E40" s="2">
        <v>196</v>
      </c>
      <c r="F40" s="2">
        <v>99</v>
      </c>
      <c r="G40" s="4">
        <f t="shared" si="3"/>
        <v>4.0824040824040821E-2</v>
      </c>
      <c r="H40" s="4">
        <f t="shared" si="4"/>
        <v>3.7044037044037047E-2</v>
      </c>
      <c r="I40" s="2" t="str">
        <f t="shared" si="5"/>
        <v>Jan-2026</v>
      </c>
    </row>
    <row r="41" spans="1:9" x14ac:dyDescent="0.3">
      <c r="A41" s="2" t="s">
        <v>18</v>
      </c>
      <c r="B41" s="3">
        <v>46034</v>
      </c>
      <c r="C41" s="2">
        <v>15758</v>
      </c>
      <c r="D41" s="2">
        <v>25</v>
      </c>
      <c r="E41" s="2">
        <v>693</v>
      </c>
      <c r="F41" s="2">
        <v>99.7</v>
      </c>
      <c r="G41" s="4">
        <f t="shared" si="3"/>
        <v>4.5564157888056858E-2</v>
      </c>
      <c r="H41" s="4">
        <f t="shared" si="4"/>
        <v>4.3977662139865467E-2</v>
      </c>
      <c r="I41" s="2" t="str">
        <f t="shared" si="5"/>
        <v>Jan-2026</v>
      </c>
    </row>
    <row r="42" spans="1:9" x14ac:dyDescent="0.3">
      <c r="A42" s="2" t="s">
        <v>42</v>
      </c>
      <c r="B42" s="3">
        <v>46018</v>
      </c>
      <c r="C42" s="2">
        <v>9926</v>
      </c>
      <c r="D42" s="2">
        <v>38</v>
      </c>
      <c r="E42" s="2">
        <v>428</v>
      </c>
      <c r="F42" s="2">
        <v>99.1</v>
      </c>
      <c r="G42" s="4">
        <f t="shared" si="3"/>
        <v>4.6947410840217613E-2</v>
      </c>
      <c r="H42" s="4">
        <f t="shared" si="4"/>
        <v>4.3119081200886561E-2</v>
      </c>
      <c r="I42" s="2" t="str">
        <f t="shared" si="5"/>
        <v>Dec-2025</v>
      </c>
    </row>
    <row r="43" spans="1:9" x14ac:dyDescent="0.3">
      <c r="A43" s="2" t="s">
        <v>43</v>
      </c>
      <c r="B43" s="3">
        <v>46013</v>
      </c>
      <c r="C43" s="2">
        <v>11567</v>
      </c>
      <c r="D43" s="2">
        <v>19</v>
      </c>
      <c r="E43" s="2">
        <v>486</v>
      </c>
      <c r="F43" s="2">
        <v>99.2</v>
      </c>
      <c r="G43" s="4">
        <f t="shared" si="3"/>
        <v>4.3658684187775569E-2</v>
      </c>
      <c r="H43" s="4">
        <f t="shared" si="4"/>
        <v>4.2016080228235497E-2</v>
      </c>
      <c r="I43" s="2" t="str">
        <f t="shared" si="5"/>
        <v>Dec-2025</v>
      </c>
    </row>
    <row r="44" spans="1:9" x14ac:dyDescent="0.3">
      <c r="A44" s="2" t="s">
        <v>44</v>
      </c>
      <c r="B44" s="3">
        <v>46009</v>
      </c>
      <c r="C44" s="2">
        <v>27517</v>
      </c>
      <c r="D44" s="2">
        <v>32</v>
      </c>
      <c r="E44" s="2">
        <v>800</v>
      </c>
      <c r="F44" s="2">
        <v>98.3</v>
      </c>
      <c r="G44" s="4">
        <f t="shared" si="3"/>
        <v>3.0235854199222298E-2</v>
      </c>
      <c r="H44" s="4">
        <f t="shared" si="4"/>
        <v>2.907293673002144E-2</v>
      </c>
      <c r="I44" s="2" t="str">
        <f t="shared" si="5"/>
        <v>Dec-2025</v>
      </c>
    </row>
    <row r="45" spans="1:9" x14ac:dyDescent="0.3">
      <c r="A45" s="2" t="s">
        <v>45</v>
      </c>
      <c r="B45" s="3">
        <v>46005</v>
      </c>
      <c r="C45" s="2">
        <v>17207</v>
      </c>
      <c r="D45" s="2">
        <v>26</v>
      </c>
      <c r="E45" s="2">
        <v>868</v>
      </c>
      <c r="F45" s="2">
        <v>99.5</v>
      </c>
      <c r="G45" s="4">
        <f t="shared" si="3"/>
        <v>5.1955599465333874E-2</v>
      </c>
      <c r="H45" s="4">
        <f t="shared" si="4"/>
        <v>5.0444586505491953E-2</v>
      </c>
      <c r="I45" s="2" t="str">
        <f t="shared" si="5"/>
        <v>Dec-2025</v>
      </c>
    </row>
    <row r="46" spans="1:9" x14ac:dyDescent="0.3">
      <c r="A46" s="2" t="s">
        <v>46</v>
      </c>
      <c r="B46" s="3">
        <v>46003</v>
      </c>
      <c r="C46" s="2">
        <v>18813</v>
      </c>
      <c r="D46" s="2">
        <v>15</v>
      </c>
      <c r="E46" s="2">
        <v>1026</v>
      </c>
      <c r="F46" s="2">
        <v>99.7</v>
      </c>
      <c r="G46" s="4">
        <f t="shared" si="3"/>
        <v>5.5334077499601342E-2</v>
      </c>
      <c r="H46" s="4">
        <f t="shared" si="4"/>
        <v>5.453675649816616E-2</v>
      </c>
      <c r="I46" s="2" t="str">
        <f t="shared" si="5"/>
        <v>Dec-2025</v>
      </c>
    </row>
    <row r="47" spans="1:9" x14ac:dyDescent="0.3">
      <c r="A47" s="2" t="s">
        <v>47</v>
      </c>
      <c r="B47" s="3">
        <v>46001</v>
      </c>
      <c r="C47" s="2">
        <v>13228</v>
      </c>
      <c r="D47" s="2">
        <v>24</v>
      </c>
      <c r="E47" s="2">
        <v>410</v>
      </c>
      <c r="F47" s="2">
        <v>99.5</v>
      </c>
      <c r="G47" s="4">
        <f t="shared" si="3"/>
        <v>3.2809192621711523E-2</v>
      </c>
      <c r="H47" s="4">
        <f t="shared" si="4"/>
        <v>3.0994859389174477E-2</v>
      </c>
      <c r="I47" s="2" t="str">
        <f t="shared" si="5"/>
        <v>Dec-2025</v>
      </c>
    </row>
    <row r="48" spans="1:9" x14ac:dyDescent="0.3">
      <c r="A48" s="2" t="s">
        <v>48</v>
      </c>
      <c r="B48" s="3">
        <v>45992</v>
      </c>
      <c r="C48" s="2">
        <v>9919</v>
      </c>
      <c r="D48" s="2">
        <v>15</v>
      </c>
      <c r="E48" s="2">
        <v>327</v>
      </c>
      <c r="F48" s="2">
        <v>99.4</v>
      </c>
      <c r="G48" s="4">
        <f t="shared" si="3"/>
        <v>3.4479282185704202E-2</v>
      </c>
      <c r="H48" s="4">
        <f t="shared" si="4"/>
        <v>3.2967032967032968E-2</v>
      </c>
      <c r="I48" s="2" t="str">
        <f t="shared" si="5"/>
        <v>Dec-2025</v>
      </c>
    </row>
    <row r="49" spans="1:9" x14ac:dyDescent="0.3">
      <c r="A49" s="2" t="s">
        <v>49</v>
      </c>
      <c r="B49" s="3">
        <v>45987</v>
      </c>
      <c r="C49" s="2">
        <v>4480</v>
      </c>
      <c r="D49" s="2">
        <v>12</v>
      </c>
      <c r="E49" s="2">
        <v>104</v>
      </c>
      <c r="F49" s="2">
        <v>99.4</v>
      </c>
      <c r="G49" s="4">
        <f t="shared" si="3"/>
        <v>2.5892857142857145E-2</v>
      </c>
      <c r="H49" s="4">
        <f t="shared" si="4"/>
        <v>2.3214285714285715E-2</v>
      </c>
      <c r="I49" s="2" t="str">
        <f t="shared" si="5"/>
        <v>Nov-2025</v>
      </c>
    </row>
    <row r="50" spans="1:9" x14ac:dyDescent="0.3">
      <c r="A50" s="2" t="s">
        <v>29</v>
      </c>
      <c r="B50" s="3">
        <v>45975</v>
      </c>
      <c r="C50" s="2">
        <v>59448</v>
      </c>
      <c r="D50" s="2">
        <v>52</v>
      </c>
      <c r="E50" s="2">
        <v>1827</v>
      </c>
      <c r="F50" s="2">
        <v>99.3</v>
      </c>
      <c r="G50" s="4">
        <f t="shared" si="3"/>
        <v>3.1607455255012781E-2</v>
      </c>
      <c r="H50" s="4">
        <f t="shared" si="4"/>
        <v>3.0732741219216795E-2</v>
      </c>
      <c r="I50" s="2" t="str">
        <f t="shared" si="5"/>
        <v>Nov-2025</v>
      </c>
    </row>
    <row r="51" spans="1:9" x14ac:dyDescent="0.3">
      <c r="A51" s="2" t="s">
        <v>50</v>
      </c>
      <c r="B51" s="3">
        <v>45972</v>
      </c>
      <c r="C51" s="2">
        <v>16704</v>
      </c>
      <c r="D51" s="2">
        <v>31</v>
      </c>
      <c r="E51" s="2">
        <v>691</v>
      </c>
      <c r="F51" s="2">
        <v>99.1</v>
      </c>
      <c r="G51" s="4">
        <f t="shared" si="3"/>
        <v>4.3223180076628349E-2</v>
      </c>
      <c r="H51" s="4">
        <f t="shared" si="4"/>
        <v>4.136733716475096E-2</v>
      </c>
      <c r="I51" s="2" t="str">
        <f t="shared" si="5"/>
        <v>Nov-2025</v>
      </c>
    </row>
    <row r="52" spans="1:9" x14ac:dyDescent="0.3">
      <c r="A52" s="2" t="s">
        <v>51</v>
      </c>
      <c r="B52" s="3">
        <v>45967</v>
      </c>
      <c r="C52" s="2">
        <v>8064</v>
      </c>
      <c r="D52" s="2">
        <v>2</v>
      </c>
      <c r="E52" s="2">
        <v>255</v>
      </c>
      <c r="F52" s="2">
        <v>98.8</v>
      </c>
      <c r="G52" s="4">
        <f t="shared" si="3"/>
        <v>3.187003968253968E-2</v>
      </c>
      <c r="H52" s="4">
        <f t="shared" si="4"/>
        <v>3.1622023809523808E-2</v>
      </c>
      <c r="I52" s="2" t="str">
        <f t="shared" si="5"/>
        <v>Nov-2025</v>
      </c>
    </row>
    <row r="53" spans="1:9" x14ac:dyDescent="0.3">
      <c r="A53" s="2" t="s">
        <v>52</v>
      </c>
      <c r="B53" s="3">
        <v>45955</v>
      </c>
      <c r="C53" s="2">
        <v>29259</v>
      </c>
      <c r="D53" s="2">
        <v>45</v>
      </c>
      <c r="E53" s="2">
        <v>1134</v>
      </c>
      <c r="F53" s="2">
        <v>99.5</v>
      </c>
      <c r="G53" s="4">
        <f t="shared" si="3"/>
        <v>4.0295293755767458E-2</v>
      </c>
      <c r="H53" s="4">
        <f t="shared" si="4"/>
        <v>3.8757305444478619E-2</v>
      </c>
      <c r="I53" s="2" t="str">
        <f t="shared" si="5"/>
        <v>Oct-2025</v>
      </c>
    </row>
    <row r="54" spans="1:9" x14ac:dyDescent="0.3">
      <c r="A54" s="2" t="s">
        <v>53</v>
      </c>
      <c r="B54" s="3">
        <v>45948</v>
      </c>
      <c r="C54" s="2">
        <v>12628</v>
      </c>
      <c r="D54" s="2">
        <v>13</v>
      </c>
      <c r="E54" s="2">
        <v>385</v>
      </c>
      <c r="F54" s="2">
        <v>99.5</v>
      </c>
      <c r="G54" s="4">
        <f t="shared" si="3"/>
        <v>3.1517263224580296E-2</v>
      </c>
      <c r="H54" s="4">
        <f t="shared" si="4"/>
        <v>3.048780487804878E-2</v>
      </c>
      <c r="I54" s="2" t="str">
        <f t="shared" si="5"/>
        <v>Oct-2025</v>
      </c>
    </row>
    <row r="55" spans="1:9" x14ac:dyDescent="0.3">
      <c r="A55" s="2" t="s">
        <v>54</v>
      </c>
      <c r="B55" s="3">
        <v>45943</v>
      </c>
      <c r="C55" s="2">
        <v>18580</v>
      </c>
      <c r="D55" s="2">
        <v>23</v>
      </c>
      <c r="E55" s="2">
        <v>1124</v>
      </c>
      <c r="F55" s="2">
        <v>99.6</v>
      </c>
      <c r="G55" s="4">
        <f t="shared" si="3"/>
        <v>6.1733046286329384E-2</v>
      </c>
      <c r="H55" s="4">
        <f t="shared" si="4"/>
        <v>6.0495156081808395E-2</v>
      </c>
      <c r="I55" s="2" t="str">
        <f t="shared" si="5"/>
        <v>Oct-2025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Dashboard</vt:lpstr>
      <vt:lpstr>Monthly Performance Analysis</vt:lpstr>
      <vt:lpstr>Top Performing Videos</vt:lpstr>
      <vt:lpstr>Raw 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2026-04-16T11:01:56Z</dcterms:created>
  <dcterms:modified xsi:type="dcterms:W3CDTF">2026-09-18T05:29:22Z</dcterms:modified>
</cp:coreProperties>
</file>